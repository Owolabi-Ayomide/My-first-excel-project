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D:\"/>
    </mc:Choice>
  </mc:AlternateContent>
  <xr:revisionPtr revIDLastSave="0" documentId="13_ncr:1_{56B1B817-0A2A-477F-A049-022D4F538862}" xr6:coauthVersionLast="47" xr6:coauthVersionMax="47" xr10:uidLastSave="{00000000-0000-0000-0000-000000000000}"/>
  <bookViews>
    <workbookView xWindow="-110" yWindow="-110" windowWidth="19420" windowHeight="10300" activeTab="2" xr2:uid="{00000000-000D-0000-FFFF-FFFF00000000}"/>
  </bookViews>
  <sheets>
    <sheet name="Orders" sheetId="2" r:id="rId1"/>
    <sheet name="SALES REPORT" sheetId="3" r:id="rId2"/>
    <sheet name="DASHBOARD" sheetId="4" r:id="rId3"/>
  </sheets>
  <definedNames>
    <definedName name="_xlnm._FilterDatabase" localSheetId="0" hidden="1">Orders!$A$3:$M$64</definedName>
    <definedName name="BUS_115_CID" hidden="1">"SPRING_2024_B1"</definedName>
    <definedName name="CATEGORY">'SALES REPORT'!$H$4:$H$64</definedName>
    <definedName name="DISCOUNT">'SALES REPORT'!$K$4:$K$64</definedName>
    <definedName name="FA22_BUS_115_CID" hidden="1">"FALL_2022"</definedName>
    <definedName name="FA23_BUS_115_CID" hidden="1">"FALL_2023"</definedName>
    <definedName name="NEW_CITY">Orders!$E$4:$E$64</definedName>
    <definedName name="NEW_CUSTOMRER_NAME">Orders!$D$4:$D$64</definedName>
    <definedName name="NEW_ORDER_NUMBER">'SALES REPORT'!$N$4:$N$64</definedName>
    <definedName name="ORDER_DATE">Orders!$A$4:$A$64</definedName>
    <definedName name="QUANTITY_SOLD">'SALES REPORT'!$J$4:$J$64</definedName>
    <definedName name="REGION">'SALES REPORT'!$G$4:$G$64</definedName>
    <definedName name="RETAIL_PRICE">'SALES REPORT'!$I$4:$I$64</definedName>
    <definedName name="SALES">'SALES REPORT'!$L$4:$L$64</definedName>
    <definedName name="SHIP_DATE">Orders!$B$4:$B$64</definedName>
    <definedName name="SHIP_MODE">'SALES REPORT'!$C$4:$C$64</definedName>
    <definedName name="SP22_BUS_115_CID" hidden="1">"SPRING_2022"</definedName>
    <definedName name="SP23_BUS_115_CID" hidden="1">"SPRING_2023"</definedName>
    <definedName name="SP24_BUS_115_CID" hidden="1">"SPRING_2024_B1"</definedName>
    <definedName name="STATE">'SALES REPORT'!$F$4:$F$64</definedName>
    <definedName name="WI23_BUS_115_CID" hidden="1">"WINTER_2023"</definedName>
    <definedName name="WI24_BUS_115_CID" hidden="1">"WINTER_2024"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4" l="1"/>
  <c r="H12" i="4"/>
  <c r="J12" i="4"/>
  <c r="I12" i="4"/>
  <c r="G12" i="4"/>
  <c r="E12" i="4"/>
  <c r="D12" i="4"/>
  <c r="K2" i="3"/>
  <c r="P4" i="3"/>
  <c r="R4" i="3" s="1"/>
  <c r="L64" i="3"/>
  <c r="B64" i="3"/>
  <c r="A64" i="3"/>
  <c r="N64" i="3" s="1"/>
  <c r="L63" i="3"/>
  <c r="B63" i="3"/>
  <c r="A63" i="3"/>
  <c r="N63" i="3" s="1"/>
  <c r="L62" i="3"/>
  <c r="B62" i="3"/>
  <c r="A62" i="3"/>
  <c r="N62" i="3" s="1"/>
  <c r="L61" i="3"/>
  <c r="B61" i="3"/>
  <c r="A61" i="3"/>
  <c r="N61" i="3" s="1"/>
  <c r="L60" i="3"/>
  <c r="B60" i="3"/>
  <c r="A60" i="3"/>
  <c r="N60" i="3" s="1"/>
  <c r="L59" i="3"/>
  <c r="B59" i="3"/>
  <c r="A59" i="3"/>
  <c r="N59" i="3" s="1"/>
  <c r="L58" i="3"/>
  <c r="B58" i="3"/>
  <c r="A58" i="3"/>
  <c r="N58" i="3" s="1"/>
  <c r="L57" i="3"/>
  <c r="B57" i="3"/>
  <c r="A57" i="3"/>
  <c r="N57" i="3" s="1"/>
  <c r="L56" i="3"/>
  <c r="B56" i="3"/>
  <c r="A56" i="3"/>
  <c r="N56" i="3" s="1"/>
  <c r="L55" i="3"/>
  <c r="B55" i="3"/>
  <c r="A55" i="3"/>
  <c r="N55" i="3" s="1"/>
  <c r="L54" i="3"/>
  <c r="B54" i="3"/>
  <c r="A54" i="3"/>
  <c r="N54" i="3" s="1"/>
  <c r="L53" i="3"/>
  <c r="B53" i="3"/>
  <c r="A53" i="3"/>
  <c r="N53" i="3" s="1"/>
  <c r="L52" i="3"/>
  <c r="B52" i="3"/>
  <c r="A52" i="3"/>
  <c r="N52" i="3" s="1"/>
  <c r="L51" i="3"/>
  <c r="B51" i="3"/>
  <c r="A51" i="3"/>
  <c r="N51" i="3" s="1"/>
  <c r="L50" i="3"/>
  <c r="B50" i="3"/>
  <c r="A50" i="3"/>
  <c r="N50" i="3" s="1"/>
  <c r="L49" i="3"/>
  <c r="B49" i="3"/>
  <c r="A49" i="3"/>
  <c r="N49" i="3" s="1"/>
  <c r="L48" i="3"/>
  <c r="B48" i="3"/>
  <c r="A48" i="3"/>
  <c r="N48" i="3" s="1"/>
  <c r="L47" i="3"/>
  <c r="B47" i="3"/>
  <c r="A47" i="3"/>
  <c r="N47" i="3" s="1"/>
  <c r="L46" i="3"/>
  <c r="B46" i="3"/>
  <c r="A46" i="3"/>
  <c r="N46" i="3" s="1"/>
  <c r="L45" i="3"/>
  <c r="B45" i="3"/>
  <c r="A45" i="3"/>
  <c r="N45" i="3" s="1"/>
  <c r="L44" i="3"/>
  <c r="B44" i="3"/>
  <c r="A44" i="3"/>
  <c r="N44" i="3" s="1"/>
  <c r="L43" i="3"/>
  <c r="B43" i="3"/>
  <c r="A43" i="3"/>
  <c r="N43" i="3" s="1"/>
  <c r="L42" i="3"/>
  <c r="B42" i="3"/>
  <c r="A42" i="3"/>
  <c r="N42" i="3" s="1"/>
  <c r="L41" i="3"/>
  <c r="B41" i="3"/>
  <c r="A41" i="3"/>
  <c r="N41" i="3" s="1"/>
  <c r="L40" i="3"/>
  <c r="B40" i="3"/>
  <c r="A40" i="3"/>
  <c r="N40" i="3" s="1"/>
  <c r="L39" i="3"/>
  <c r="B39" i="3"/>
  <c r="A39" i="3"/>
  <c r="N39" i="3" s="1"/>
  <c r="L38" i="3"/>
  <c r="B38" i="3"/>
  <c r="A38" i="3"/>
  <c r="N38" i="3" s="1"/>
  <c r="L37" i="3"/>
  <c r="B37" i="3"/>
  <c r="A37" i="3"/>
  <c r="N37" i="3" s="1"/>
  <c r="L36" i="3"/>
  <c r="B36" i="3"/>
  <c r="A36" i="3"/>
  <c r="N36" i="3" s="1"/>
  <c r="L35" i="3"/>
  <c r="B35" i="3"/>
  <c r="A35" i="3"/>
  <c r="N35" i="3" s="1"/>
  <c r="L34" i="3"/>
  <c r="B34" i="3"/>
  <c r="A34" i="3"/>
  <c r="N34" i="3" s="1"/>
  <c r="L33" i="3"/>
  <c r="B33" i="3"/>
  <c r="A33" i="3"/>
  <c r="N33" i="3" s="1"/>
  <c r="L32" i="3"/>
  <c r="B32" i="3"/>
  <c r="A32" i="3"/>
  <c r="N32" i="3" s="1"/>
  <c r="L31" i="3"/>
  <c r="B31" i="3"/>
  <c r="A31" i="3"/>
  <c r="N31" i="3" s="1"/>
  <c r="L30" i="3"/>
  <c r="B30" i="3"/>
  <c r="A30" i="3"/>
  <c r="N30" i="3" s="1"/>
  <c r="L29" i="3"/>
  <c r="B29" i="3"/>
  <c r="A29" i="3"/>
  <c r="N29" i="3" s="1"/>
  <c r="L28" i="3"/>
  <c r="B28" i="3"/>
  <c r="A28" i="3"/>
  <c r="N28" i="3" s="1"/>
  <c r="L27" i="3"/>
  <c r="B27" i="3"/>
  <c r="A27" i="3"/>
  <c r="N27" i="3" s="1"/>
  <c r="L26" i="3"/>
  <c r="B26" i="3"/>
  <c r="A26" i="3"/>
  <c r="N26" i="3" s="1"/>
  <c r="L25" i="3"/>
  <c r="B25" i="3"/>
  <c r="A25" i="3"/>
  <c r="N25" i="3" s="1"/>
  <c r="L24" i="3"/>
  <c r="B24" i="3"/>
  <c r="A24" i="3"/>
  <c r="N24" i="3" s="1"/>
  <c r="L23" i="3"/>
  <c r="B23" i="3"/>
  <c r="A23" i="3"/>
  <c r="N23" i="3" s="1"/>
  <c r="L22" i="3"/>
  <c r="B22" i="3"/>
  <c r="A22" i="3"/>
  <c r="N22" i="3" s="1"/>
  <c r="L21" i="3"/>
  <c r="B21" i="3"/>
  <c r="A21" i="3"/>
  <c r="N21" i="3" s="1"/>
  <c r="L20" i="3"/>
  <c r="B20" i="3"/>
  <c r="A20" i="3"/>
  <c r="N20" i="3" s="1"/>
  <c r="L19" i="3"/>
  <c r="K12" i="4" s="1"/>
  <c r="B19" i="3"/>
  <c r="A19" i="3"/>
  <c r="N19" i="3" s="1"/>
  <c r="L18" i="3"/>
  <c r="B18" i="3"/>
  <c r="A18" i="3"/>
  <c r="N18" i="3" s="1"/>
  <c r="L17" i="3"/>
  <c r="B17" i="3"/>
  <c r="A17" i="3"/>
  <c r="N17" i="3" s="1"/>
  <c r="L16" i="3"/>
  <c r="B16" i="3"/>
  <c r="A16" i="3"/>
  <c r="N16" i="3" s="1"/>
  <c r="L15" i="3"/>
  <c r="B15" i="3"/>
  <c r="A15" i="3"/>
  <c r="N15" i="3" s="1"/>
  <c r="L14" i="3"/>
  <c r="B14" i="3"/>
  <c r="A14" i="3"/>
  <c r="N14" i="3" s="1"/>
  <c r="L12" i="4" s="1"/>
  <c r="L13" i="3"/>
  <c r="B13" i="3"/>
  <c r="A13" i="3"/>
  <c r="N13" i="3" s="1"/>
  <c r="L12" i="3"/>
  <c r="B12" i="3"/>
  <c r="A12" i="3"/>
  <c r="N12" i="3" s="1"/>
  <c r="L11" i="3"/>
  <c r="B11" i="3"/>
  <c r="A11" i="3"/>
  <c r="N11" i="3" s="1"/>
  <c r="L10" i="3"/>
  <c r="B10" i="3"/>
  <c r="A10" i="3"/>
  <c r="N10" i="3" s="1"/>
  <c r="L9" i="3"/>
  <c r="B9" i="3"/>
  <c r="A9" i="3"/>
  <c r="N9" i="3" s="1"/>
  <c r="L8" i="3"/>
  <c r="B8" i="3"/>
  <c r="A8" i="3"/>
  <c r="N8" i="3" s="1"/>
  <c r="L7" i="3"/>
  <c r="B7" i="3"/>
  <c r="A7" i="3"/>
  <c r="N7" i="3" s="1"/>
  <c r="L6" i="3"/>
  <c r="B6" i="3"/>
  <c r="A6" i="3"/>
  <c r="N6" i="3" s="1"/>
  <c r="L5" i="3"/>
  <c r="B5" i="3"/>
  <c r="A5" i="3"/>
  <c r="N5" i="3" s="1"/>
  <c r="L4" i="3"/>
  <c r="M2" i="3" s="1"/>
  <c r="B4" i="3"/>
  <c r="A4" i="3"/>
  <c r="N4" i="3" s="1"/>
  <c r="O4" i="2"/>
  <c r="Q4" i="2" s="1"/>
  <c r="L4" i="2"/>
  <c r="A6" i="2"/>
  <c r="N6" i="2" s="1"/>
  <c r="A7" i="2"/>
  <c r="N7" i="2" s="1"/>
  <c r="A8" i="2"/>
  <c r="N8" i="2" s="1"/>
  <c r="A9" i="2"/>
  <c r="N9" i="2" s="1"/>
  <c r="A4" i="2"/>
  <c r="N4" i="2" s="1"/>
  <c r="A5" i="2"/>
  <c r="N5" i="2" s="1"/>
  <c r="A10" i="2"/>
  <c r="N10" i="2" s="1"/>
  <c r="A11" i="2"/>
  <c r="N11" i="2" s="1"/>
  <c r="A12" i="2"/>
  <c r="N12" i="2" s="1"/>
  <c r="A13" i="2"/>
  <c r="N13" i="2" s="1"/>
  <c r="A14" i="2"/>
  <c r="N14" i="2" s="1"/>
  <c r="A15" i="2"/>
  <c r="N15" i="2" s="1"/>
  <c r="A16" i="2"/>
  <c r="N16" i="2" s="1"/>
  <c r="A17" i="2"/>
  <c r="N17" i="2" s="1"/>
  <c r="A18" i="2"/>
  <c r="N18" i="2" s="1"/>
  <c r="A19" i="2"/>
  <c r="N19" i="2" s="1"/>
  <c r="A20" i="2"/>
  <c r="N20" i="2" s="1"/>
  <c r="A21" i="2"/>
  <c r="N21" i="2" s="1"/>
  <c r="A22" i="2"/>
  <c r="N22" i="2" s="1"/>
  <c r="A23" i="2"/>
  <c r="N23" i="2" s="1"/>
  <c r="A24" i="2"/>
  <c r="N24" i="2" s="1"/>
  <c r="A25" i="2"/>
  <c r="N25" i="2" s="1"/>
  <c r="A26" i="2"/>
  <c r="N26" i="2" s="1"/>
  <c r="A27" i="2"/>
  <c r="N27" i="2" s="1"/>
  <c r="A28" i="2"/>
  <c r="N28" i="2" s="1"/>
  <c r="A29" i="2"/>
  <c r="N29" i="2" s="1"/>
  <c r="A30" i="2"/>
  <c r="N30" i="2" s="1"/>
  <c r="A31" i="2"/>
  <c r="N31" i="2" s="1"/>
  <c r="A32" i="2"/>
  <c r="N32" i="2" s="1"/>
  <c r="A33" i="2"/>
  <c r="N33" i="2" s="1"/>
  <c r="A34" i="2"/>
  <c r="N34" i="2" s="1"/>
  <c r="A35" i="2"/>
  <c r="N35" i="2" s="1"/>
  <c r="A36" i="2"/>
  <c r="N36" i="2" s="1"/>
  <c r="A37" i="2"/>
  <c r="N37" i="2" s="1"/>
  <c r="A38" i="2"/>
  <c r="N38" i="2" s="1"/>
  <c r="A39" i="2"/>
  <c r="N39" i="2" s="1"/>
  <c r="A40" i="2"/>
  <c r="N40" i="2" s="1"/>
  <c r="A41" i="2"/>
  <c r="N41" i="2" s="1"/>
  <c r="A42" i="2"/>
  <c r="N42" i="2" s="1"/>
  <c r="A43" i="2"/>
  <c r="N43" i="2" s="1"/>
  <c r="A44" i="2"/>
  <c r="N44" i="2" s="1"/>
  <c r="A45" i="2"/>
  <c r="N45" i="2" s="1"/>
  <c r="A46" i="2"/>
  <c r="N46" i="2" s="1"/>
  <c r="A47" i="2"/>
  <c r="N47" i="2" s="1"/>
  <c r="A48" i="2"/>
  <c r="N48" i="2" s="1"/>
  <c r="A49" i="2"/>
  <c r="N49" i="2" s="1"/>
  <c r="A50" i="2"/>
  <c r="N50" i="2" s="1"/>
  <c r="A51" i="2"/>
  <c r="N51" i="2" s="1"/>
  <c r="A52" i="2"/>
  <c r="N52" i="2" s="1"/>
  <c r="A53" i="2"/>
  <c r="N53" i="2" s="1"/>
  <c r="A54" i="2"/>
  <c r="N54" i="2" s="1"/>
  <c r="A55" i="2"/>
  <c r="N55" i="2" s="1"/>
  <c r="A56" i="2"/>
  <c r="N56" i="2" s="1"/>
  <c r="A57" i="2"/>
  <c r="N57" i="2" s="1"/>
  <c r="A58" i="2"/>
  <c r="N58" i="2" s="1"/>
  <c r="A59" i="2"/>
  <c r="N59" i="2" s="1"/>
  <c r="A60" i="2"/>
  <c r="N60" i="2" s="1"/>
  <c r="A61" i="2"/>
  <c r="N61" i="2" s="1"/>
  <c r="A62" i="2"/>
  <c r="N62" i="2" s="1"/>
  <c r="A63" i="2"/>
  <c r="N63" i="2" s="1"/>
  <c r="A64" i="2"/>
  <c r="N64" i="2" s="1"/>
  <c r="B12" i="4"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C12" i="4" s="1"/>
  <c r="B13" i="2"/>
  <c r="B12" i="2"/>
  <c r="B11" i="2"/>
  <c r="B10" i="2"/>
  <c r="B9" i="2"/>
  <c r="B8" i="2"/>
  <c r="B7" i="2"/>
  <c r="B6" i="2"/>
  <c r="B5" i="2"/>
  <c r="B4" i="2"/>
</calcChain>
</file>

<file path=xl/sharedStrings.xml><?xml version="1.0" encoding="utf-8"?>
<sst xmlns="http://schemas.openxmlformats.org/spreadsheetml/2006/main" count="906" uniqueCount="217">
  <si>
    <t>Order Date</t>
  </si>
  <si>
    <t>Ship Date</t>
  </si>
  <si>
    <t>Ship Mode</t>
  </si>
  <si>
    <t>Customer Name</t>
  </si>
  <si>
    <t>City</t>
  </si>
  <si>
    <t>State</t>
  </si>
  <si>
    <t>Region</t>
  </si>
  <si>
    <t>Category</t>
  </si>
  <si>
    <t>Retail price per unit</t>
  </si>
  <si>
    <t>Quantity sold</t>
  </si>
  <si>
    <t>Discount percent</t>
  </si>
  <si>
    <t>Total Sales</t>
  </si>
  <si>
    <t>Order Number</t>
  </si>
  <si>
    <t>UPS</t>
  </si>
  <si>
    <t>Adela Neeley</t>
  </si>
  <si>
    <t>Houston</t>
  </si>
  <si>
    <t>Texas</t>
  </si>
  <si>
    <t>Central</t>
  </si>
  <si>
    <t>Furniture</t>
  </si>
  <si>
    <t>496-1850</t>
  </si>
  <si>
    <t>USPS</t>
  </si>
  <si>
    <t>Alycia Whitenack</t>
  </si>
  <si>
    <t>Grand Prairie</t>
  </si>
  <si>
    <t>Office Supplies</t>
  </si>
  <si>
    <t>496-1994</t>
  </si>
  <si>
    <t xml:space="preserve">Anitra Ketelsen </t>
  </si>
  <si>
    <t>Concord</t>
  </si>
  <si>
    <t>North Carolina</t>
  </si>
  <si>
    <t>South</t>
  </si>
  <si>
    <t>496-1872</t>
  </si>
  <si>
    <t>Annamae Cervantes</t>
  </si>
  <si>
    <t>San Antonio</t>
  </si>
  <si>
    <t>Technology</t>
  </si>
  <si>
    <t>598-2470</t>
  </si>
  <si>
    <t xml:space="preserve">Arielle Zartman </t>
  </si>
  <si>
    <t>Hamilton</t>
  </si>
  <si>
    <t>Ohio</t>
  </si>
  <si>
    <t>East</t>
  </si>
  <si>
    <t>496-1222</t>
  </si>
  <si>
    <t>FedEx</t>
  </si>
  <si>
    <t xml:space="preserve">Arletha Spindler </t>
  </si>
  <si>
    <t>Chicago</t>
  </si>
  <si>
    <t>Illinois</t>
  </si>
  <si>
    <t>598-2976</t>
  </si>
  <si>
    <t xml:space="preserve">Arnulfo Hutton </t>
  </si>
  <si>
    <t>Henderson</t>
  </si>
  <si>
    <t>Kentucky</t>
  </si>
  <si>
    <t>598-2747</t>
  </si>
  <si>
    <t>Ashley Smith 4</t>
  </si>
  <si>
    <t>Urbandale</t>
  </si>
  <si>
    <t>Iowa</t>
  </si>
  <si>
    <t>598-2426</t>
  </si>
  <si>
    <t>Babara Metheny</t>
  </si>
  <si>
    <t>New York City</t>
  </si>
  <si>
    <t>New York</t>
  </si>
  <si>
    <t>598-2796</t>
  </si>
  <si>
    <t xml:space="preserve">Boris Poirrier </t>
  </si>
  <si>
    <t>New Albany</t>
  </si>
  <si>
    <t>Indiana</t>
  </si>
  <si>
    <t>496-2551</t>
  </si>
  <si>
    <t>496-1722</t>
  </si>
  <si>
    <t>Cathy Gibby</t>
  </si>
  <si>
    <t>Decatur</t>
  </si>
  <si>
    <t>598-2192</t>
  </si>
  <si>
    <t xml:space="preserve">Celine Kahre </t>
  </si>
  <si>
    <t>Columbus</t>
  </si>
  <si>
    <t>496-1617</t>
  </si>
  <si>
    <t xml:space="preserve">Charmaine Zhang </t>
  </si>
  <si>
    <t>Saint Paul</t>
  </si>
  <si>
    <t>Minnesota</t>
  </si>
  <si>
    <t>598-2483</t>
  </si>
  <si>
    <t xml:space="preserve">Claude Darbonne </t>
  </si>
  <si>
    <t>Philadelphia</t>
  </si>
  <si>
    <t>Pennsylvania</t>
  </si>
  <si>
    <t>496-1770</t>
  </si>
  <si>
    <t>Clay Facemire</t>
  </si>
  <si>
    <t>Melbourne</t>
  </si>
  <si>
    <t>Florida</t>
  </si>
  <si>
    <t>496-1873</t>
  </si>
  <si>
    <t xml:space="preserve">Cuc Gillenwater </t>
  </si>
  <si>
    <t>496-1886</t>
  </si>
  <si>
    <t>Dara Culton</t>
  </si>
  <si>
    <t>Rochester</t>
  </si>
  <si>
    <t>598-2413</t>
  </si>
  <si>
    <t>Dong Malcomb</t>
  </si>
  <si>
    <t>Richardson</t>
  </si>
  <si>
    <t xml:space="preserve">Donovan Kelling </t>
  </si>
  <si>
    <t>Bristol</t>
  </si>
  <si>
    <t>Tennessee</t>
  </si>
  <si>
    <t>496-2099</t>
  </si>
  <si>
    <t xml:space="preserve">Edgardo Danner </t>
  </si>
  <si>
    <t>Fort Worth</t>
  </si>
  <si>
    <t>496-1150</t>
  </si>
  <si>
    <t>Elvina Kristensen</t>
  </si>
  <si>
    <t>496-1769</t>
  </si>
  <si>
    <t xml:space="preserve">Esperanza Comacho </t>
  </si>
  <si>
    <t>Charlotte</t>
  </si>
  <si>
    <t>598-2985</t>
  </si>
  <si>
    <t xml:space="preserve">Estella Magrath </t>
  </si>
  <si>
    <t>598-2333</t>
  </si>
  <si>
    <t>Fawn Bulloch</t>
  </si>
  <si>
    <t>598-2222</t>
  </si>
  <si>
    <t>Gabrielle Roach</t>
  </si>
  <si>
    <t>496-1378</t>
  </si>
  <si>
    <t>Gretta Nixon</t>
  </si>
  <si>
    <t>Memphis</t>
  </si>
  <si>
    <t>496-1243</t>
  </si>
  <si>
    <t>Halley Solari</t>
  </si>
  <si>
    <t>598-2243</t>
  </si>
  <si>
    <t>Henrietta Markowitz</t>
  </si>
  <si>
    <t>Durham</t>
  </si>
  <si>
    <t>598-5003</t>
  </si>
  <si>
    <t>Izola Mink</t>
  </si>
  <si>
    <t>Franklin</t>
  </si>
  <si>
    <t>Wisconsin</t>
  </si>
  <si>
    <t>496-1323</t>
  </si>
  <si>
    <t>Jacqualine Haskins</t>
  </si>
  <si>
    <t>Springfield</t>
  </si>
  <si>
    <t>Virginia</t>
  </si>
  <si>
    <t>598-5573</t>
  </si>
  <si>
    <t>Jaimee Janecek</t>
  </si>
  <si>
    <t>Minneapolis</t>
  </si>
  <si>
    <t>496-1430</t>
  </si>
  <si>
    <t>Jay Huffstetler</t>
  </si>
  <si>
    <t>Fremont</t>
  </si>
  <si>
    <t>Nebraska</t>
  </si>
  <si>
    <t>598-2410</t>
  </si>
  <si>
    <t xml:space="preserve">Jeanna Landrum </t>
  </si>
  <si>
    <t>496-2051</t>
  </si>
  <si>
    <t>Katie Giguere</t>
  </si>
  <si>
    <t>Dover</t>
  </si>
  <si>
    <t>Delaware</t>
  </si>
  <si>
    <t>496-1119</t>
  </si>
  <si>
    <t>Naperville</t>
  </si>
  <si>
    <t>598-2418</t>
  </si>
  <si>
    <t xml:space="preserve">Kristeen Silsby </t>
  </si>
  <si>
    <t>496-2770</t>
  </si>
  <si>
    <t>Larissa Herlihy</t>
  </si>
  <si>
    <t>598-2530</t>
  </si>
  <si>
    <t>Lavelle Hooton</t>
  </si>
  <si>
    <t>Newark</t>
  </si>
  <si>
    <t>496-1665</t>
  </si>
  <si>
    <t xml:space="preserve">Lenny Dierking </t>
  </si>
  <si>
    <t>Edmond</t>
  </si>
  <si>
    <t>Oklahoma</t>
  </si>
  <si>
    <t>598-2840</t>
  </si>
  <si>
    <t xml:space="preserve">Leonor Burton </t>
  </si>
  <si>
    <t>Eagan</t>
  </si>
  <si>
    <t>598-2622</t>
  </si>
  <si>
    <t xml:space="preserve">Leticia Odonnell </t>
  </si>
  <si>
    <t>496-1242</t>
  </si>
  <si>
    <t xml:space="preserve">Lloyd Plumley </t>
  </si>
  <si>
    <t>Columbia</t>
  </si>
  <si>
    <t>South Carolina</t>
  </si>
  <si>
    <t xml:space="preserve">Louvenia Tabon </t>
  </si>
  <si>
    <t>Maragret Lytle</t>
  </si>
  <si>
    <t>496-0001</t>
  </si>
  <si>
    <t>Marybeth Selvage</t>
  </si>
  <si>
    <t>Orland Park</t>
  </si>
  <si>
    <t>496-0002</t>
  </si>
  <si>
    <t xml:space="preserve">Mattie Nave </t>
  </si>
  <si>
    <t>Madison</t>
  </si>
  <si>
    <t>496-0003</t>
  </si>
  <si>
    <t xml:space="preserve">Monique Ulman </t>
  </si>
  <si>
    <t>Bloomington</t>
  </si>
  <si>
    <t>496-0004</t>
  </si>
  <si>
    <t>Moses Raynes</t>
  </si>
  <si>
    <t>496-0005</t>
  </si>
  <si>
    <t>Nickole Burell</t>
  </si>
  <si>
    <t>Monroe</t>
  </si>
  <si>
    <t>Louisiana</t>
  </si>
  <si>
    <t>496-0006</t>
  </si>
  <si>
    <t xml:space="preserve">Penni Haar </t>
  </si>
  <si>
    <t>496-0010</t>
  </si>
  <si>
    <t>Raymon Cassel</t>
  </si>
  <si>
    <t>Fairfield</t>
  </si>
  <si>
    <t>Connecticut</t>
  </si>
  <si>
    <t>496-0012</t>
  </si>
  <si>
    <t>Reyna Manthe</t>
  </si>
  <si>
    <t>496-0013</t>
  </si>
  <si>
    <t xml:space="preserve">Ricardo Tillison </t>
  </si>
  <si>
    <t>Independence</t>
  </si>
  <si>
    <t>Missouri</t>
  </si>
  <si>
    <t>496-0014</t>
  </si>
  <si>
    <t xml:space="preserve">Ricky Lisowski </t>
  </si>
  <si>
    <t>Fort Lauderdale</t>
  </si>
  <si>
    <t>496-0015</t>
  </si>
  <si>
    <t>Rosanne Gulotta</t>
  </si>
  <si>
    <t>496-0016</t>
  </si>
  <si>
    <t>Samatha Armentrout</t>
  </si>
  <si>
    <t>496-0018</t>
  </si>
  <si>
    <t>Serena Yelton</t>
  </si>
  <si>
    <t>Wilmington</t>
  </si>
  <si>
    <t>496-0019</t>
  </si>
  <si>
    <t>Alabama</t>
  </si>
  <si>
    <t>496-0020</t>
  </si>
  <si>
    <t xml:space="preserve">Theresa Nixon </t>
  </si>
  <si>
    <t>Troy</t>
  </si>
  <si>
    <t>496-0022</t>
  </si>
  <si>
    <t>Titus Oshea</t>
  </si>
  <si>
    <t>496-0024</t>
  </si>
  <si>
    <t xml:space="preserve">Verline Goin </t>
  </si>
  <si>
    <t>Westfield</t>
  </si>
  <si>
    <t>New Jersey</t>
  </si>
  <si>
    <t>496-0026</t>
  </si>
  <si>
    <t>Sparkle Justine</t>
  </si>
  <si>
    <t>Owloabi Ayomide</t>
  </si>
  <si>
    <r>
      <t>New City</t>
    </r>
    <r>
      <rPr>
        <sz val="12"/>
        <color theme="1"/>
        <rFont val="Times New Roman"/>
        <family val="1"/>
      </rPr>
      <t xml:space="preserve"> – Create a column at the end called "New City" and use a formula that references the data in the "City" column. Your formula should replace all instances of "San Antonio" with the city where you currently reside. As it is copied down (using the Auto Fill feature) it should transfer over all other cities as currently named.Q</t>
    </r>
  </si>
  <si>
    <r>
      <t>Order Number</t>
    </r>
    <r>
      <rPr>
        <sz val="12"/>
        <color theme="1"/>
        <rFont val="Times New Roman"/>
        <family val="1"/>
      </rPr>
      <t xml:space="preserve"> – Create an additional column at the end called "New Order Number" that uses a formula to add a region code at the front of each order number. The region codes are: East = 101. South = 201. Central = 301. For example, the order number, "496-1850" from Central would look like "301-496-1850". The region codes might change so set them up as input cells that can be altered in the future. Consider using named ranges.Q</t>
    </r>
  </si>
  <si>
    <t>ORDER</t>
  </si>
  <si>
    <t>NEW CITY</t>
  </si>
  <si>
    <t>New City</t>
  </si>
  <si>
    <t>New Order Number</t>
  </si>
  <si>
    <t xml:space="preserve">   SALES REPORT</t>
  </si>
  <si>
    <t>Quantity</t>
  </si>
  <si>
    <t>Discount</t>
  </si>
  <si>
    <t>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</si>
</sst>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5" x14ac:knownFonts="1">
    <font>
      <sz val="11"/>
      <color theme="1"/>
      <name val="Arial"/>
      <family val="2"/>
      <scheme val="minor"/>
    </font>
    <font>
      <sz val="11"/>
      <color theme="1"/>
      <name val="Arial"/>
      <family val="2"/>
      <scheme val="minor"/>
    </font>
    <font>
      <b/>
      <sz val="11"/>
      <color theme="3"/>
      <name val="Calibri"/>
      <family val="2"/>
    </font>
    <font>
      <sz val="11"/>
      <color theme="0"/>
      <name val="Calibri"/>
      <family val="2"/>
    </font>
    <font>
      <b/>
      <sz val="12"/>
      <color theme="1"/>
      <name val="Times New Roman"/>
      <family val="1"/>
    </font>
    <font>
      <sz val="12"/>
      <color theme="1"/>
      <name val="Times New Roman"/>
      <family val="1"/>
    </font>
    <font>
      <b/>
      <sz val="11"/>
      <name val="Calibri"/>
      <family val="2"/>
    </font>
    <font>
      <sz val="11"/>
      <name val="Arial"/>
      <family val="2"/>
      <scheme val="minor"/>
    </font>
    <font>
      <sz val="11"/>
      <color theme="0"/>
      <name val="Arial"/>
      <family val="2"/>
      <scheme val="minor"/>
    </font>
    <font>
      <b/>
      <sz val="11"/>
      <name val="Arial"/>
      <family val="2"/>
      <scheme val="minor"/>
    </font>
    <font>
      <sz val="28"/>
      <color theme="1"/>
      <name val="Arial"/>
      <family val="2"/>
      <scheme val="minor"/>
    </font>
    <font>
      <b/>
      <sz val="16"/>
      <color theme="3" tint="0.59999389629810485"/>
      <name val="Arial"/>
      <family val="2"/>
      <scheme val="minor"/>
    </font>
    <font>
      <sz val="11"/>
      <color theme="3" tint="0.59999389629810485"/>
      <name val="Arial"/>
      <family val="2"/>
      <scheme val="minor"/>
    </font>
    <font>
      <b/>
      <sz val="20"/>
      <color theme="3" tint="-0.499984740745262"/>
      <name val="Arial"/>
      <family val="2"/>
      <scheme val="minor"/>
    </font>
    <font>
      <sz val="11"/>
      <color theme="1"/>
      <name val="Bookman Old Style"/>
      <family val="1"/>
    </font>
  </fonts>
  <fills count="9">
    <fill>
      <patternFill patternType="none"/>
    </fill>
    <fill>
      <patternFill patternType="gray125"/>
    </fill>
    <fill>
      <patternFill patternType="solid">
        <fgColor theme="6"/>
      </patternFill>
    </fill>
    <fill>
      <patternFill patternType="solid">
        <fgColor theme="6"/>
        <bgColor indexed="64"/>
      </patternFill>
    </fill>
    <fill>
      <patternFill patternType="solid">
        <fgColor theme="0" tint="-0.34998626667073579"/>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2" tint="0.39997558519241921"/>
        <bgColor indexed="64"/>
      </patternFill>
    </fill>
    <fill>
      <patternFill patternType="solid">
        <fgColor theme="3" tint="-0.499984740745262"/>
        <bgColor indexed="64"/>
      </patternFill>
    </fill>
  </fills>
  <borders count="6">
    <border>
      <left/>
      <right/>
      <top/>
      <bottom/>
      <diagonal/>
    </border>
    <border>
      <left/>
      <right/>
      <top/>
      <bottom style="medium">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top/>
      <bottom/>
      <diagonal/>
    </border>
    <border>
      <left/>
      <right/>
      <top/>
      <bottom style="thin">
        <color theme="3" tint="0.39997558519241921"/>
      </bottom>
      <diagonal/>
    </border>
    <border>
      <left/>
      <right/>
      <top/>
      <bottom style="double">
        <color theme="3" tint="0.39997558519241921"/>
      </bottom>
      <diagonal/>
    </border>
  </borders>
  <cellStyleXfs count="4">
    <xf numFmtId="0" fontId="0" fillId="0" borderId="0"/>
    <xf numFmtId="44" fontId="1" fillId="0" borderId="0" applyFont="0" applyFill="0" applyBorder="0" applyAlignment="0" applyProtection="0"/>
    <xf numFmtId="0" fontId="2" fillId="0" borderId="1" applyNumberFormat="0" applyFill="0" applyAlignment="0" applyProtection="0"/>
    <xf numFmtId="0" fontId="3" fillId="2" borderId="0" applyNumberFormat="0" applyBorder="0" applyAlignment="0" applyProtection="0"/>
  </cellStyleXfs>
  <cellXfs count="44">
    <xf numFmtId="0" fontId="0" fillId="0" borderId="0" xfId="0"/>
    <xf numFmtId="0" fontId="0" fillId="0" borderId="0" xfId="0" applyAlignment="1">
      <alignment vertical="center"/>
    </xf>
    <xf numFmtId="0" fontId="0" fillId="0" borderId="0" xfId="0" applyAlignment="1">
      <alignment horizontal="left" vertical="center"/>
    </xf>
    <xf numFmtId="9" fontId="0" fillId="0" borderId="0" xfId="0" applyNumberFormat="1" applyAlignment="1">
      <alignment vertical="center"/>
    </xf>
    <xf numFmtId="8" fontId="0" fillId="0" borderId="0" xfId="0" applyNumberFormat="1" applyAlignment="1">
      <alignment vertical="center"/>
    </xf>
    <xf numFmtId="0" fontId="2" fillId="0" borderId="1" xfId="2" applyAlignment="1">
      <alignment horizontal="left" vertical="center"/>
    </xf>
    <xf numFmtId="8" fontId="2" fillId="0" borderId="1" xfId="2" applyNumberFormat="1" applyAlignment="1">
      <alignment vertical="center"/>
    </xf>
    <xf numFmtId="0" fontId="2" fillId="0" borderId="1" xfId="2" applyAlignment="1">
      <alignment vertical="center"/>
    </xf>
    <xf numFmtId="9" fontId="2" fillId="0" borderId="1" xfId="2" applyNumberFormat="1" applyAlignment="1">
      <alignment vertical="center"/>
    </xf>
    <xf numFmtId="14" fontId="2" fillId="0" borderId="1" xfId="2" applyNumberFormat="1" applyAlignment="1">
      <alignment horizontal="left" vertical="center"/>
    </xf>
    <xf numFmtId="0" fontId="3" fillId="2" borderId="1" xfId="3" applyBorder="1" applyAlignment="1">
      <alignment horizontal="left" vertical="center"/>
    </xf>
    <xf numFmtId="8" fontId="3" fillId="2" borderId="1" xfId="3" applyNumberFormat="1" applyBorder="1" applyAlignment="1">
      <alignment vertical="center"/>
    </xf>
    <xf numFmtId="0" fontId="3" fillId="2" borderId="1" xfId="3" applyBorder="1" applyAlignment="1">
      <alignment vertical="center"/>
    </xf>
    <xf numFmtId="9" fontId="3" fillId="2" borderId="1" xfId="3" applyNumberFormat="1" applyBorder="1" applyAlignment="1">
      <alignment vertical="center"/>
    </xf>
    <xf numFmtId="0" fontId="3" fillId="2" borderId="0" xfId="3" applyAlignment="1">
      <alignment vertical="center"/>
    </xf>
    <xf numFmtId="0" fontId="4" fillId="0" borderId="0" xfId="0" applyFont="1" applyAlignment="1">
      <alignment horizontal="left" vertical="center" indent="1"/>
    </xf>
    <xf numFmtId="0" fontId="2" fillId="0" borderId="0" xfId="2" applyBorder="1" applyAlignment="1">
      <alignment vertical="center"/>
    </xf>
    <xf numFmtId="0" fontId="3" fillId="2" borderId="0" xfId="3" applyBorder="1" applyAlignment="1">
      <alignment vertical="center"/>
    </xf>
    <xf numFmtId="0" fontId="8" fillId="3" borderId="0" xfId="0" applyFont="1" applyFill="1" applyAlignment="1">
      <alignment vertical="center"/>
    </xf>
    <xf numFmtId="0" fontId="6" fillId="4" borderId="1" xfId="3" applyFont="1" applyFill="1" applyBorder="1" applyAlignment="1">
      <alignment horizontal="left" vertical="center"/>
    </xf>
    <xf numFmtId="8" fontId="6" fillId="4" borderId="1" xfId="3" applyNumberFormat="1" applyFont="1" applyFill="1" applyBorder="1" applyAlignment="1">
      <alignment vertical="center"/>
    </xf>
    <xf numFmtId="0" fontId="6" fillId="4" borderId="1" xfId="3" applyFont="1" applyFill="1" applyBorder="1" applyAlignment="1">
      <alignment vertical="center"/>
    </xf>
    <xf numFmtId="9" fontId="6" fillId="4" borderId="1" xfId="3" applyNumberFormat="1" applyFont="1" applyFill="1" applyBorder="1" applyAlignment="1">
      <alignment vertical="center"/>
    </xf>
    <xf numFmtId="0" fontId="9" fillId="4" borderId="0" xfId="0" applyFont="1" applyFill="1" applyAlignment="1">
      <alignment vertical="center"/>
    </xf>
    <xf numFmtId="0" fontId="10" fillId="5" borderId="0" xfId="0" applyFont="1" applyFill="1" applyAlignment="1">
      <alignment vertical="top"/>
    </xf>
    <xf numFmtId="0" fontId="0" fillId="5" borderId="0" xfId="0" applyFill="1" applyAlignment="1">
      <alignment vertical="top"/>
    </xf>
    <xf numFmtId="0" fontId="9" fillId="5" borderId="0" xfId="0" applyFont="1" applyFill="1" applyAlignment="1">
      <alignment vertical="center"/>
    </xf>
    <xf numFmtId="0" fontId="2" fillId="6" borderId="1" xfId="2" applyFill="1" applyAlignment="1">
      <alignment vertical="center"/>
    </xf>
    <xf numFmtId="0" fontId="2" fillId="6" borderId="1" xfId="2" applyFill="1" applyAlignment="1">
      <alignment horizontal="left" vertical="center"/>
    </xf>
    <xf numFmtId="0" fontId="14" fillId="0" borderId="5" xfId="0" applyFont="1" applyBorder="1"/>
    <xf numFmtId="0" fontId="14" fillId="0" borderId="5" xfId="0" applyFont="1" applyBorder="1" applyAlignment="1">
      <alignment horizontal="right"/>
    </xf>
    <xf numFmtId="0" fontId="14" fillId="0" borderId="5" xfId="0" applyFont="1" applyBorder="1" applyAlignment="1">
      <alignment horizontal="center"/>
    </xf>
    <xf numFmtId="9" fontId="14" fillId="0" borderId="5" xfId="0" applyNumberFormat="1" applyFont="1" applyBorder="1"/>
    <xf numFmtId="44" fontId="14" fillId="0" borderId="5" xfId="1" applyFont="1" applyBorder="1" applyProtection="1"/>
    <xf numFmtId="0" fontId="5" fillId="0" borderId="0" xfId="0" applyFont="1" applyAlignment="1">
      <alignment horizontal="left" vertical="center" indent="1"/>
    </xf>
    <xf numFmtId="0" fontId="2" fillId="0" borderId="4" xfId="2" applyBorder="1" applyAlignment="1" applyProtection="1">
      <alignment horizontal="center"/>
    </xf>
    <xf numFmtId="0" fontId="2" fillId="0" borderId="4" xfId="2" applyBorder="1" applyProtection="1"/>
    <xf numFmtId="0" fontId="0" fillId="5" borderId="0" xfId="0" applyFill="1" applyAlignment="1">
      <alignment horizontal="center" vertical="top"/>
    </xf>
    <xf numFmtId="8" fontId="7" fillId="5" borderId="0" xfId="0" applyNumberFormat="1" applyFont="1" applyFill="1" applyAlignment="1">
      <alignment horizontal="center" vertical="top"/>
    </xf>
    <xf numFmtId="0" fontId="7" fillId="5" borderId="0" xfId="0" applyFont="1" applyFill="1" applyAlignment="1">
      <alignment horizontal="center" vertical="top"/>
    </xf>
    <xf numFmtId="0" fontId="11" fillId="8" borderId="2" xfId="0" applyFont="1" applyFill="1" applyBorder="1" applyAlignment="1">
      <alignment horizontal="center" vertical="center"/>
    </xf>
    <xf numFmtId="0" fontId="12" fillId="8" borderId="2"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0" xfId="0" applyFont="1" applyFill="1" applyAlignment="1">
      <alignment horizontal="center" vertical="center"/>
    </xf>
  </cellXfs>
  <cellStyles count="4">
    <cellStyle name="Accent3" xfId="3" builtinId="37"/>
    <cellStyle name="Currency" xfId="1" builtinId="4"/>
    <cellStyle name="Heading 3" xfId="2" builtinId="18"/>
    <cellStyle name="Normal" xfId="0" builtinId="0"/>
  </cellStyles>
  <dxfs count="6">
    <dxf>
      <font>
        <color auto="1"/>
      </font>
      <fill>
        <patternFill>
          <bgColor theme="7" tint="-0.24994659260841701"/>
        </patternFill>
      </fill>
    </dxf>
    <dxf>
      <font>
        <color theme="6"/>
      </font>
      <fill>
        <patternFill>
          <bgColor theme="7" tint="0.79998168889431442"/>
        </patternFill>
      </fill>
    </dxf>
    <dxf>
      <font>
        <color theme="6"/>
      </font>
      <fill>
        <patternFill>
          <bgColor theme="7" tint="0.79998168889431442"/>
        </patternFill>
      </fill>
    </dxf>
    <dxf>
      <font>
        <color auto="1"/>
      </font>
      <fill>
        <patternFill>
          <bgColor theme="7" tint="-0.24994659260841701"/>
        </patternFill>
      </fill>
    </dxf>
    <dxf>
      <font>
        <color theme="6"/>
      </font>
      <fill>
        <patternFill>
          <bgColor theme="7" tint="0.79998168889431442"/>
        </patternFill>
      </fill>
    </dxf>
    <dxf>
      <font>
        <color theme="6"/>
      </font>
      <fill>
        <patternFill>
          <bgColor theme="7" tint="0.79998168889431442"/>
        </patternFill>
      </fill>
    </dxf>
  </dxfs>
  <tableStyles count="0" defaultTableStyle="TableStyleMedium2" defaultPivotStyle="PivotStyleLight16"/>
  <colors>
    <mruColors>
      <color rgb="FFFF6600"/>
      <color rgb="FFFF3300"/>
      <color rgb="FFDBCA4F"/>
      <color rgb="FFEF79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95250</xdr:colOff>
      <xdr:row>0</xdr:row>
      <xdr:rowOff>66675</xdr:rowOff>
    </xdr:from>
    <xdr:to>
      <xdr:col>11</xdr:col>
      <xdr:colOff>714375</xdr:colOff>
      <xdr:row>0</xdr:row>
      <xdr:rowOff>304800</xdr:rowOff>
    </xdr:to>
    <xdr:sp macro="" textlink="">
      <xdr:nvSpPr>
        <xdr:cNvPr id="2" name="TextBox 1">
          <a:extLst>
            <a:ext uri="{FF2B5EF4-FFF2-40B4-BE49-F238E27FC236}">
              <a16:creationId xmlns:a16="http://schemas.microsoft.com/office/drawing/2014/main" id="{17C10C3D-B887-4FFF-A1F9-E90920E56A8B}"/>
            </a:ext>
          </a:extLst>
        </xdr:cNvPr>
        <xdr:cNvSpPr txBox="1"/>
      </xdr:nvSpPr>
      <xdr:spPr>
        <a:xfrm>
          <a:off x="9010650" y="66675"/>
          <a:ext cx="1695450" cy="2381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rPr>
            <a:t>TOTAL QUANTITY</a:t>
          </a:r>
        </a:p>
        <a:p>
          <a:r>
            <a:rPr lang="en-US" sz="1100"/>
            <a:t>      </a:t>
          </a:r>
        </a:p>
      </xdr:txBody>
    </xdr:sp>
    <xdr:clientData/>
  </xdr:twoCellAnchor>
  <xdr:twoCellAnchor>
    <xdr:from>
      <xdr:col>12</xdr:col>
      <xdr:colOff>314325</xdr:colOff>
      <xdr:row>0</xdr:row>
      <xdr:rowOff>85725</xdr:rowOff>
    </xdr:from>
    <xdr:to>
      <xdr:col>13</xdr:col>
      <xdr:colOff>781050</xdr:colOff>
      <xdr:row>0</xdr:row>
      <xdr:rowOff>314325</xdr:rowOff>
    </xdr:to>
    <xdr:sp macro="" textlink="">
      <xdr:nvSpPr>
        <xdr:cNvPr id="3" name="TextBox 2">
          <a:extLst>
            <a:ext uri="{FF2B5EF4-FFF2-40B4-BE49-F238E27FC236}">
              <a16:creationId xmlns:a16="http://schemas.microsoft.com/office/drawing/2014/main" id="{B3D5F582-E262-4787-8039-4C9EB765FF62}"/>
            </a:ext>
          </a:extLst>
        </xdr:cNvPr>
        <xdr:cNvSpPr txBox="1"/>
      </xdr:nvSpPr>
      <xdr:spPr>
        <a:xfrm>
          <a:off x="11029950" y="85725"/>
          <a:ext cx="1390650" cy="22860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latin typeface="+mn-lt"/>
              <a:ea typeface="+mn-ea"/>
              <a:cs typeface="+mn-cs"/>
            </a:rPr>
            <a:t> TOTAL SALES</a:t>
          </a:r>
        </a:p>
      </xdr:txBody>
    </xdr:sp>
    <xdr:clientData/>
  </xdr:twoCellAnchor>
  <xdr:twoCellAnchor>
    <xdr:from>
      <xdr:col>14</xdr:col>
      <xdr:colOff>476250</xdr:colOff>
      <xdr:row>6</xdr:row>
      <xdr:rowOff>114300</xdr:rowOff>
    </xdr:from>
    <xdr:to>
      <xdr:col>15</xdr:col>
      <xdr:colOff>600075</xdr:colOff>
      <xdr:row>6</xdr:row>
      <xdr:rowOff>161925</xdr:rowOff>
    </xdr:to>
    <xdr:cxnSp macro="">
      <xdr:nvCxnSpPr>
        <xdr:cNvPr id="5" name="Straight Connector 4">
          <a:extLst>
            <a:ext uri="{FF2B5EF4-FFF2-40B4-BE49-F238E27FC236}">
              <a16:creationId xmlns:a16="http://schemas.microsoft.com/office/drawing/2014/main" id="{D44A4B7A-0CBB-49EA-9223-24EBDFD64A23}"/>
            </a:ext>
          </a:extLst>
        </xdr:cNvPr>
        <xdr:cNvCxnSpPr/>
      </xdr:nvCxnSpPr>
      <xdr:spPr>
        <a:xfrm>
          <a:off x="13401675" y="1571625"/>
          <a:ext cx="809625" cy="47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685800</xdr:colOff>
      <xdr:row>0</xdr:row>
      <xdr:rowOff>95250</xdr:rowOff>
    </xdr:from>
    <xdr:to>
      <xdr:col>10</xdr:col>
      <xdr:colOff>523876</xdr:colOff>
      <xdr:row>5</xdr:row>
      <xdr:rowOff>142875</xdr:rowOff>
    </xdr:to>
    <xdr:grpSp>
      <xdr:nvGrpSpPr>
        <xdr:cNvPr id="8" name="Group 7">
          <a:extLst>
            <a:ext uri="{FF2B5EF4-FFF2-40B4-BE49-F238E27FC236}">
              <a16:creationId xmlns:a16="http://schemas.microsoft.com/office/drawing/2014/main" id="{0690888E-087D-4ED7-84B4-C15874B119A2}"/>
            </a:ext>
          </a:extLst>
        </xdr:cNvPr>
        <xdr:cNvGrpSpPr/>
      </xdr:nvGrpSpPr>
      <xdr:grpSpPr>
        <a:xfrm>
          <a:off x="3067050" y="95250"/>
          <a:ext cx="5692776" cy="955675"/>
          <a:chOff x="4219574" y="885825"/>
          <a:chExt cx="4562474" cy="971550"/>
        </a:xfrm>
      </xdr:grpSpPr>
      <xdr:sp macro="" textlink="">
        <xdr:nvSpPr>
          <xdr:cNvPr id="3" name="Rectangle 2">
            <a:extLst>
              <a:ext uri="{FF2B5EF4-FFF2-40B4-BE49-F238E27FC236}">
                <a16:creationId xmlns:a16="http://schemas.microsoft.com/office/drawing/2014/main" id="{D872AC16-1995-4DC1-8100-7E5F4F59C6DC}"/>
              </a:ext>
            </a:extLst>
          </xdr:cNvPr>
          <xdr:cNvSpPr/>
        </xdr:nvSpPr>
        <xdr:spPr>
          <a:xfrm rot="10800000">
            <a:off x="4219574" y="885825"/>
            <a:ext cx="4562474" cy="971550"/>
          </a:xfrm>
          <a:prstGeom prst="rect">
            <a:avLst/>
          </a:prstGeom>
          <a:gradFill>
            <a:gsLst>
              <a:gs pos="0">
                <a:srgbClr val="002060"/>
              </a:gs>
              <a:gs pos="100000">
                <a:schemeClr val="accent1">
                  <a:lumMod val="30000"/>
                  <a:lumOff val="70000"/>
                </a:schemeClr>
              </a:gs>
            </a:gsLst>
            <a:lin ang="5400000" scaled="1"/>
          </a:gradFill>
          <a:effectLst>
            <a:reflection blurRad="6350" stA="52000" endA="300" endPos="35000" dir="5400000" sy="-100000" algn="bl" rotWithShape="0"/>
          </a:effectLst>
          <a:scene3d>
            <a:camera prst="perspectiveBelow"/>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CA4FFB5B-DD46-465C-B00D-34530E33134C}"/>
              </a:ext>
            </a:extLst>
          </xdr:cNvPr>
          <xdr:cNvSpPr txBox="1"/>
        </xdr:nvSpPr>
        <xdr:spPr>
          <a:xfrm>
            <a:off x="4580210" y="1057275"/>
            <a:ext cx="4068490" cy="666750"/>
          </a:xfrm>
          <a:prstGeom prst="rect">
            <a:avLst/>
          </a:prstGeom>
          <a:noFill/>
          <a:ln w="9525" cmpd="sng">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i="1">
                <a:solidFill>
                  <a:schemeClr val="tx2">
                    <a:lumMod val="50000"/>
                  </a:schemeClr>
                </a:solidFill>
                <a:latin typeface="Calisto MT" panose="02040603050505030304" pitchFamily="18" charset="0"/>
              </a:rPr>
              <a:t>  DASHBOARD </a:t>
            </a:r>
          </a:p>
        </xdr:txBody>
      </xdr:sp>
    </xdr:grpSp>
    <xdr:clientData/>
  </xdr:twoCellAnchor>
</xdr:wsDr>
</file>

<file path=xl/theme/theme1.xml><?xml version="1.0" encoding="utf-8"?>
<a:theme xmlns:a="http://schemas.openxmlformats.org/drawingml/2006/main" name="Office Theme">
  <a:themeElements>
    <a:clrScheme name="BYUI Colors">
      <a:dk1>
        <a:sysClr val="windowText" lastClr="000000"/>
      </a:dk1>
      <a:lt1>
        <a:sysClr val="window" lastClr="FFFFFF"/>
      </a:lt1>
      <a:dk2>
        <a:srgbClr val="006EB6"/>
      </a:dk2>
      <a:lt2>
        <a:srgbClr val="8DD3EE"/>
      </a:lt2>
      <a:accent1>
        <a:srgbClr val="80C140"/>
      </a:accent1>
      <a:accent2>
        <a:srgbClr val="A5216F"/>
      </a:accent2>
      <a:accent3>
        <a:srgbClr val="E42226"/>
      </a:accent3>
      <a:accent4>
        <a:srgbClr val="F7941D"/>
      </a:accent4>
      <a:accent5>
        <a:srgbClr val="FFE066"/>
      </a:accent5>
      <a:accent6>
        <a:srgbClr val="ADADAD"/>
      </a:accent6>
      <a:hlink>
        <a:srgbClr val="006EB6"/>
      </a:hlink>
      <a:folHlink>
        <a:srgbClr val="006EB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I64"/>
  <sheetViews>
    <sheetView zoomScale="70" zoomScaleNormal="70" workbookViewId="0">
      <selection activeCell="B4" sqref="B4:B64"/>
    </sheetView>
  </sheetViews>
  <sheetFormatPr defaultColWidth="10.75" defaultRowHeight="19.899999999999999" customHeight="1" x14ac:dyDescent="0.3"/>
  <cols>
    <col min="1" max="3" width="10.75" style="2"/>
    <col min="4" max="4" width="19.83203125" style="2" customWidth="1"/>
    <col min="5" max="5" width="15.33203125" style="2" customWidth="1"/>
    <col min="6" max="6" width="13.83203125" style="2" customWidth="1"/>
    <col min="7" max="8" width="10.75" style="2"/>
    <col min="9" max="9" width="10.75" style="4"/>
    <col min="10" max="10" width="10.75" style="1"/>
    <col min="11" max="11" width="10.75" style="3"/>
    <col min="12" max="12" width="15.58203125" style="1" customWidth="1"/>
    <col min="13" max="13" width="10.75" style="1"/>
    <col min="14" max="14" width="17.08203125" style="1" customWidth="1"/>
    <col min="15" max="17" width="10.75" style="1" customWidth="1"/>
    <col min="19" max="16384" width="10.75" style="1"/>
  </cols>
  <sheetData>
    <row r="2" spans="1:35" ht="19.899999999999999" customHeight="1" x14ac:dyDescent="0.3">
      <c r="E2"/>
      <c r="F2"/>
      <c r="G2"/>
      <c r="H2"/>
    </row>
    <row r="3" spans="1:35" s="14" customFormat="1" ht="19.899999999999999" customHeight="1" thickBot="1" x14ac:dyDescent="0.35">
      <c r="A3" s="10" t="s">
        <v>0</v>
      </c>
      <c r="B3" s="10" t="s">
        <v>1</v>
      </c>
      <c r="C3" s="10" t="s">
        <v>2</v>
      </c>
      <c r="D3" s="10" t="s">
        <v>3</v>
      </c>
      <c r="E3" s="10" t="s">
        <v>4</v>
      </c>
      <c r="F3" s="10" t="s">
        <v>5</v>
      </c>
      <c r="G3" s="10" t="s">
        <v>6</v>
      </c>
      <c r="H3" s="10" t="s">
        <v>7</v>
      </c>
      <c r="I3" s="11" t="s">
        <v>8</v>
      </c>
      <c r="J3" s="12" t="s">
        <v>9</v>
      </c>
      <c r="K3" s="13" t="s">
        <v>10</v>
      </c>
      <c r="L3" s="12" t="s">
        <v>11</v>
      </c>
      <c r="M3" s="12" t="s">
        <v>12</v>
      </c>
      <c r="N3" s="18" t="s">
        <v>212</v>
      </c>
      <c r="O3" s="14" t="s">
        <v>211</v>
      </c>
      <c r="P3" s="17"/>
      <c r="Q3" s="14" t="s">
        <v>211</v>
      </c>
    </row>
    <row r="4" spans="1:35" ht="19.899999999999999" customHeight="1" thickBot="1" x14ac:dyDescent="0.35">
      <c r="A4" s="9">
        <f ca="1">DATE(YEAR(TODAY())-4,12,25)</f>
        <v>44920</v>
      </c>
      <c r="B4" s="9">
        <f ca="1">DATE(YEAR(TODAY())-4,12,27)</f>
        <v>44922</v>
      </c>
      <c r="C4" s="5" t="s">
        <v>13</v>
      </c>
      <c r="D4" s="5" t="s">
        <v>14</v>
      </c>
      <c r="E4" s="5" t="s">
        <v>164</v>
      </c>
      <c r="F4" s="5" t="s">
        <v>42</v>
      </c>
      <c r="G4" s="5" t="s">
        <v>17</v>
      </c>
      <c r="H4" s="5" t="s">
        <v>18</v>
      </c>
      <c r="I4" s="6">
        <v>600.55999999999995</v>
      </c>
      <c r="J4" s="7">
        <v>3</v>
      </c>
      <c r="K4" s="8">
        <v>0.3</v>
      </c>
      <c r="L4" s="6">
        <f t="shared" ref="L4:L35" si="0">I4*J4*(1-K4)</f>
        <v>1261.1759999999997</v>
      </c>
      <c r="M4" s="7" t="s">
        <v>19</v>
      </c>
      <c r="N4" t="str">
        <f ca="1">G4&amp;"  "&amp; A4</f>
        <v>Central  44920</v>
      </c>
      <c r="O4" s="7" t="str">
        <f>LOOKUP(P4,NEW_CUSTOMRER_NAME,NEW_CITY)</f>
        <v>San Antonio</v>
      </c>
      <c r="P4" s="7" t="s">
        <v>189</v>
      </c>
      <c r="Q4" s="5" t="str">
        <f>IF(O4="San Antonio","Agric Bustop")</f>
        <v>Agric Bustop</v>
      </c>
      <c r="T4" s="5"/>
    </row>
    <row r="5" spans="1:35" ht="19.899999999999999" customHeight="1" thickBot="1" x14ac:dyDescent="0.35">
      <c r="A5" s="9">
        <f ca="1">DATE(YEAR(TODAY())-2,7,15)</f>
        <v>45488</v>
      </c>
      <c r="B5" s="9">
        <f ca="1">DATE(YEAR(TODAY())-2,7,21)</f>
        <v>45494</v>
      </c>
      <c r="C5" s="5" t="s">
        <v>20</v>
      </c>
      <c r="D5" s="5" t="s">
        <v>21</v>
      </c>
      <c r="E5" s="5" t="s">
        <v>87</v>
      </c>
      <c r="F5" s="5" t="s">
        <v>88</v>
      </c>
      <c r="G5" s="5" t="s">
        <v>28</v>
      </c>
      <c r="H5" s="5" t="s">
        <v>23</v>
      </c>
      <c r="I5" s="6">
        <v>37.22</v>
      </c>
      <c r="J5" s="7">
        <v>3</v>
      </c>
      <c r="K5" s="8">
        <v>0.2</v>
      </c>
      <c r="L5" s="6">
        <f t="shared" si="0"/>
        <v>89.328000000000003</v>
      </c>
      <c r="M5" s="7" t="s">
        <v>24</v>
      </c>
      <c r="N5" t="str">
        <f ca="1">G5&amp;"  "&amp; A5</f>
        <v>South  45488</v>
      </c>
      <c r="O5" s="7"/>
      <c r="P5" s="7"/>
      <c r="Q5"/>
      <c r="S5" s="15" t="s">
        <v>207</v>
      </c>
      <c r="T5" s="15"/>
    </row>
    <row r="6" spans="1:35" ht="19.899999999999999" customHeight="1" thickBot="1" x14ac:dyDescent="0.35">
      <c r="A6" s="9">
        <f ca="1">DATE(YEAR(TODAY())-1,4,14)</f>
        <v>45761</v>
      </c>
      <c r="B6" s="9">
        <f ca="1">DATE(YEAR(TODAY())-1,4,19)</f>
        <v>45766</v>
      </c>
      <c r="C6" s="5" t="s">
        <v>20</v>
      </c>
      <c r="D6" s="5" t="s">
        <v>25</v>
      </c>
      <c r="E6" s="5" t="s">
        <v>96</v>
      </c>
      <c r="F6" s="5" t="s">
        <v>27</v>
      </c>
      <c r="G6" s="5" t="s">
        <v>28</v>
      </c>
      <c r="H6" s="5" t="s">
        <v>23</v>
      </c>
      <c r="I6" s="6">
        <v>15.55</v>
      </c>
      <c r="J6" s="7">
        <v>3</v>
      </c>
      <c r="K6" s="8">
        <v>0.2</v>
      </c>
      <c r="L6" s="6">
        <f t="shared" si="0"/>
        <v>37.320000000000007</v>
      </c>
      <c r="M6" s="7" t="s">
        <v>29</v>
      </c>
      <c r="N6" t="str">
        <f t="shared" ref="N6:N64" ca="1" si="1">G6&amp;"  "&amp; A6</f>
        <v>South  45761</v>
      </c>
      <c r="O6" s="7"/>
      <c r="P6" s="7"/>
      <c r="Q6"/>
      <c r="S6"/>
      <c r="T6"/>
      <c r="U6"/>
      <c r="V6"/>
      <c r="W6"/>
      <c r="X6"/>
      <c r="Y6"/>
      <c r="Z6"/>
      <c r="AA6"/>
      <c r="AB6"/>
      <c r="AC6"/>
      <c r="AD6"/>
      <c r="AE6"/>
      <c r="AF6"/>
      <c r="AG6"/>
      <c r="AH6"/>
      <c r="AI6"/>
    </row>
    <row r="7" spans="1:35" ht="19.899999999999999" customHeight="1" thickBot="1" x14ac:dyDescent="0.35">
      <c r="A7" s="9">
        <f ca="1">DATE(YEAR(TODAY())-4,9,7)</f>
        <v>44811</v>
      </c>
      <c r="B7" s="9">
        <f ca="1">DATE(YEAR(TODAY())-4,9,11)</f>
        <v>44815</v>
      </c>
      <c r="C7" s="5" t="s">
        <v>20</v>
      </c>
      <c r="D7" s="5" t="s">
        <v>30</v>
      </c>
      <c r="E7" s="5" t="s">
        <v>41</v>
      </c>
      <c r="F7" s="5" t="s">
        <v>42</v>
      </c>
      <c r="G7" s="5" t="s">
        <v>17</v>
      </c>
      <c r="H7" s="5" t="s">
        <v>32</v>
      </c>
      <c r="I7" s="6">
        <v>8159.95</v>
      </c>
      <c r="J7" s="7">
        <v>8</v>
      </c>
      <c r="K7" s="8">
        <v>0.4</v>
      </c>
      <c r="L7" s="6">
        <f t="shared" si="0"/>
        <v>39167.759999999995</v>
      </c>
      <c r="M7" s="7" t="s">
        <v>33</v>
      </c>
      <c r="N7" t="str">
        <f t="shared" ca="1" si="1"/>
        <v>Central  44811</v>
      </c>
      <c r="O7" s="7"/>
      <c r="P7" s="7"/>
      <c r="Q7"/>
      <c r="S7"/>
      <c r="T7"/>
      <c r="U7"/>
      <c r="V7"/>
      <c r="W7"/>
      <c r="X7"/>
      <c r="Y7"/>
      <c r="Z7"/>
      <c r="AA7"/>
      <c r="AB7"/>
      <c r="AC7"/>
      <c r="AD7"/>
      <c r="AE7"/>
      <c r="AF7"/>
      <c r="AG7"/>
      <c r="AH7"/>
      <c r="AI7"/>
    </row>
    <row r="8" spans="1:35" ht="19.899999999999999" customHeight="1" thickBot="1" x14ac:dyDescent="0.35">
      <c r="A8" s="9">
        <f ca="1">DATE(YEAR(TODAY())-4,3,20)</f>
        <v>44640</v>
      </c>
      <c r="B8" s="9">
        <f ca="1">DATE(YEAR(TODAY())-4,3,24)</f>
        <v>44644</v>
      </c>
      <c r="C8" s="5" t="s">
        <v>20</v>
      </c>
      <c r="D8" s="5" t="s">
        <v>34</v>
      </c>
      <c r="E8" s="5" t="s">
        <v>41</v>
      </c>
      <c r="F8" s="5" t="s">
        <v>42</v>
      </c>
      <c r="G8" s="5" t="s">
        <v>17</v>
      </c>
      <c r="H8" s="5" t="s">
        <v>23</v>
      </c>
      <c r="I8" s="6">
        <v>7.41</v>
      </c>
      <c r="J8" s="7">
        <v>2</v>
      </c>
      <c r="K8" s="8">
        <v>0.2</v>
      </c>
      <c r="L8" s="6">
        <f t="shared" si="0"/>
        <v>11.856000000000002</v>
      </c>
      <c r="M8" s="7" t="s">
        <v>38</v>
      </c>
      <c r="N8" t="str">
        <f t="shared" ca="1" si="1"/>
        <v>Central  44640</v>
      </c>
      <c r="O8" s="7"/>
      <c r="P8" s="7"/>
      <c r="Q8"/>
      <c r="S8"/>
      <c r="T8"/>
      <c r="U8"/>
      <c r="V8"/>
      <c r="W8"/>
      <c r="X8"/>
      <c r="Y8"/>
      <c r="Z8"/>
      <c r="AA8"/>
      <c r="AB8"/>
      <c r="AC8"/>
      <c r="AD8"/>
      <c r="AE8"/>
      <c r="AF8"/>
      <c r="AG8"/>
      <c r="AH8"/>
      <c r="AI8"/>
    </row>
    <row r="9" spans="1:35" ht="19.899999999999999" customHeight="1" thickBot="1" x14ac:dyDescent="0.35">
      <c r="A9" s="9">
        <f ca="1">DATE(YEAR(TODAY())-1,11,12)</f>
        <v>45973</v>
      </c>
      <c r="B9" s="9">
        <f ca="1">DATE(YEAR(TODAY())-1,11,15)</f>
        <v>45976</v>
      </c>
      <c r="C9" s="5" t="s">
        <v>39</v>
      </c>
      <c r="D9" s="5" t="s">
        <v>40</v>
      </c>
      <c r="E9" s="5" t="s">
        <v>41</v>
      </c>
      <c r="F9" s="5" t="s">
        <v>42</v>
      </c>
      <c r="G9" s="5" t="s">
        <v>17</v>
      </c>
      <c r="H9" s="5" t="s">
        <v>23</v>
      </c>
      <c r="I9" s="6">
        <v>230.38</v>
      </c>
      <c r="J9" s="7">
        <v>3</v>
      </c>
      <c r="K9" s="8">
        <v>0.2</v>
      </c>
      <c r="L9" s="6">
        <f t="shared" si="0"/>
        <v>552.91200000000003</v>
      </c>
      <c r="M9" s="7" t="s">
        <v>43</v>
      </c>
      <c r="N9" t="str">
        <f t="shared" ca="1" si="1"/>
        <v>Central  45973</v>
      </c>
      <c r="O9" s="7"/>
      <c r="P9" s="7"/>
      <c r="Q9" s="7"/>
      <c r="S9"/>
      <c r="T9"/>
      <c r="U9"/>
      <c r="V9"/>
      <c r="W9"/>
      <c r="X9"/>
      <c r="Y9"/>
      <c r="Z9"/>
      <c r="AA9"/>
      <c r="AB9"/>
      <c r="AC9"/>
      <c r="AD9"/>
      <c r="AE9"/>
      <c r="AF9"/>
      <c r="AG9"/>
      <c r="AH9"/>
      <c r="AI9"/>
    </row>
    <row r="10" spans="1:35" ht="19.899999999999999" customHeight="1" thickBot="1" x14ac:dyDescent="0.35">
      <c r="A10" s="9">
        <f ca="1">DATE(YEAR(TODAY())-2,11,7)</f>
        <v>45603</v>
      </c>
      <c r="B10" s="9">
        <f ca="1">DATE(YEAR(TODAY())-2,11,10)</f>
        <v>45606</v>
      </c>
      <c r="C10" s="5" t="s">
        <v>13</v>
      </c>
      <c r="D10" s="5" t="s">
        <v>44</v>
      </c>
      <c r="E10" s="5" t="s">
        <v>41</v>
      </c>
      <c r="F10" s="5" t="s">
        <v>42</v>
      </c>
      <c r="G10" s="5" t="s">
        <v>17</v>
      </c>
      <c r="H10" s="5" t="s">
        <v>18</v>
      </c>
      <c r="I10" s="6">
        <v>731.94</v>
      </c>
      <c r="J10" s="7">
        <v>3</v>
      </c>
      <c r="K10" s="8">
        <v>0</v>
      </c>
      <c r="L10" s="6">
        <f t="shared" si="0"/>
        <v>2195.8200000000002</v>
      </c>
      <c r="M10" s="7" t="s">
        <v>47</v>
      </c>
      <c r="N10" t="str">
        <f t="shared" ca="1" si="1"/>
        <v>Central  45603</v>
      </c>
      <c r="O10" s="7"/>
      <c r="P10" s="7"/>
      <c r="Q10" s="7"/>
      <c r="S10"/>
      <c r="T10"/>
      <c r="U10"/>
      <c r="V10"/>
      <c r="W10"/>
      <c r="X10"/>
      <c r="Y10"/>
      <c r="Z10"/>
      <c r="AA10"/>
      <c r="AB10"/>
      <c r="AC10"/>
      <c r="AD10"/>
      <c r="AE10"/>
      <c r="AF10"/>
      <c r="AG10"/>
      <c r="AH10"/>
      <c r="AI10"/>
    </row>
    <row r="11" spans="1:35" ht="19.899999999999999" customHeight="1" thickBot="1" x14ac:dyDescent="0.35">
      <c r="A11" s="9">
        <f ca="1">DATE(YEAR(TODAY())-2,11,2)</f>
        <v>45598</v>
      </c>
      <c r="B11" s="9">
        <f ca="1">DATE(YEAR(TODAY())-2,11,9)</f>
        <v>45605</v>
      </c>
      <c r="C11" s="5" t="s">
        <v>20</v>
      </c>
      <c r="D11" s="5" t="s">
        <v>48</v>
      </c>
      <c r="E11" s="5" t="s">
        <v>152</v>
      </c>
      <c r="F11" s="5" t="s">
        <v>153</v>
      </c>
      <c r="G11" s="5" t="s">
        <v>28</v>
      </c>
      <c r="H11" s="5" t="s">
        <v>23</v>
      </c>
      <c r="I11" s="6">
        <v>27.24</v>
      </c>
      <c r="J11" s="7">
        <v>6</v>
      </c>
      <c r="K11" s="8">
        <v>0</v>
      </c>
      <c r="L11" s="6">
        <f t="shared" si="0"/>
        <v>163.44</v>
      </c>
      <c r="M11" s="7" t="s">
        <v>51</v>
      </c>
      <c r="N11" t="str">
        <f t="shared" ca="1" si="1"/>
        <v>South  45598</v>
      </c>
      <c r="O11" s="7"/>
      <c r="P11" s="7"/>
      <c r="Q11" s="7"/>
      <c r="S11"/>
      <c r="T11"/>
      <c r="U11"/>
      <c r="V11"/>
      <c r="W11"/>
      <c r="X11"/>
      <c r="Y11"/>
      <c r="Z11"/>
      <c r="AA11"/>
      <c r="AB11"/>
      <c r="AC11"/>
      <c r="AD11"/>
      <c r="AE11"/>
      <c r="AF11"/>
      <c r="AG11"/>
      <c r="AH11"/>
      <c r="AI11"/>
    </row>
    <row r="12" spans="1:35" ht="19.899999999999999" customHeight="1" thickBot="1" x14ac:dyDescent="0.35">
      <c r="A12" s="9">
        <f ca="1">DATE(YEAR(TODAY())-1,12,24)</f>
        <v>46015</v>
      </c>
      <c r="B12" s="9">
        <f ca="1">DATE(YEAR(TODAY())-1,12,29)</f>
        <v>46020</v>
      </c>
      <c r="C12" s="5" t="s">
        <v>20</v>
      </c>
      <c r="D12" s="5" t="s">
        <v>52</v>
      </c>
      <c r="E12" s="5" t="s">
        <v>65</v>
      </c>
      <c r="F12" s="5" t="s">
        <v>36</v>
      </c>
      <c r="G12" s="5" t="s">
        <v>37</v>
      </c>
      <c r="H12" s="5" t="s">
        <v>18</v>
      </c>
      <c r="I12" s="6">
        <v>41.96</v>
      </c>
      <c r="J12" s="7">
        <v>2</v>
      </c>
      <c r="K12" s="8">
        <v>0</v>
      </c>
      <c r="L12" s="6">
        <f t="shared" si="0"/>
        <v>83.92</v>
      </c>
      <c r="M12" s="7" t="s">
        <v>55</v>
      </c>
      <c r="N12" t="str">
        <f t="shared" ca="1" si="1"/>
        <v>East  46015</v>
      </c>
      <c r="O12" s="7"/>
      <c r="P12" s="7"/>
      <c r="Q12" s="7"/>
      <c r="S12"/>
      <c r="T12"/>
      <c r="U12"/>
      <c r="V12"/>
      <c r="W12"/>
      <c r="X12"/>
      <c r="Y12"/>
      <c r="Z12"/>
      <c r="AA12"/>
      <c r="AB12"/>
      <c r="AC12"/>
      <c r="AD12"/>
      <c r="AE12"/>
      <c r="AF12"/>
      <c r="AG12"/>
      <c r="AH12"/>
      <c r="AI12"/>
    </row>
    <row r="13" spans="1:35" ht="19.899999999999999" customHeight="1" thickBot="1" x14ac:dyDescent="0.35">
      <c r="A13" s="9">
        <f ca="1">DATE(YEAR(TODAY())-3,4,16)</f>
        <v>45032</v>
      </c>
      <c r="B13" s="9">
        <f ca="1">DATE(YEAR(TODAY())-3,4,20)</f>
        <v>45036</v>
      </c>
      <c r="C13" s="5" t="s">
        <v>20</v>
      </c>
      <c r="D13" s="5" t="s">
        <v>56</v>
      </c>
      <c r="E13" s="5" t="s">
        <v>65</v>
      </c>
      <c r="F13" s="5" t="s">
        <v>36</v>
      </c>
      <c r="G13" s="5" t="s">
        <v>37</v>
      </c>
      <c r="H13" s="5" t="s">
        <v>18</v>
      </c>
      <c r="I13" s="6">
        <v>89.99</v>
      </c>
      <c r="J13" s="7">
        <v>1</v>
      </c>
      <c r="K13" s="8">
        <v>0</v>
      </c>
      <c r="L13" s="6">
        <f t="shared" si="0"/>
        <v>89.99</v>
      </c>
      <c r="M13" s="7" t="s">
        <v>59</v>
      </c>
      <c r="N13" t="str">
        <f t="shared" ca="1" si="1"/>
        <v>East  45032</v>
      </c>
      <c r="O13" s="7"/>
      <c r="P13" s="7"/>
      <c r="Q13" s="7"/>
      <c r="S13" s="15" t="s">
        <v>208</v>
      </c>
      <c r="T13" s="15"/>
    </row>
    <row r="14" spans="1:35" ht="19.899999999999999" customHeight="1" thickBot="1" x14ac:dyDescent="0.35">
      <c r="A14" s="9">
        <f ca="1">DATE(YEAR(TODAY())-4,12,4)</f>
        <v>44899</v>
      </c>
      <c r="B14" s="9">
        <f ca="1">DATE(YEAR(TODAY())-4,12,8)</f>
        <v>44903</v>
      </c>
      <c r="C14" s="5" t="s">
        <v>13</v>
      </c>
      <c r="D14" s="5" t="s">
        <v>61</v>
      </c>
      <c r="E14" s="5" t="s">
        <v>26</v>
      </c>
      <c r="F14" s="5" t="s">
        <v>27</v>
      </c>
      <c r="G14" s="5" t="s">
        <v>28</v>
      </c>
      <c r="H14" s="5" t="s">
        <v>32</v>
      </c>
      <c r="I14" s="6">
        <v>408.74</v>
      </c>
      <c r="J14" s="7">
        <v>7</v>
      </c>
      <c r="K14" s="8">
        <v>0.2</v>
      </c>
      <c r="L14" s="6">
        <f t="shared" si="0"/>
        <v>2288.9440000000004</v>
      </c>
      <c r="M14" s="7" t="s">
        <v>63</v>
      </c>
      <c r="N14" t="str">
        <f t="shared" ca="1" si="1"/>
        <v>South  44899</v>
      </c>
      <c r="O14" s="7"/>
      <c r="P14" s="7"/>
      <c r="Q14" s="7"/>
    </row>
    <row r="15" spans="1:35" ht="19.899999999999999" customHeight="1" thickBot="1" x14ac:dyDescent="0.35">
      <c r="A15" s="9">
        <f ca="1">DATE(YEAR(TODAY())-1,2,1)</f>
        <v>45689</v>
      </c>
      <c r="B15" s="9">
        <f ca="1">DATE(YEAR(TODAY())-1,2,4)</f>
        <v>45692</v>
      </c>
      <c r="C15" s="5" t="s">
        <v>39</v>
      </c>
      <c r="D15" s="5" t="s">
        <v>64</v>
      </c>
      <c r="E15" s="5" t="s">
        <v>62</v>
      </c>
      <c r="F15" s="5" t="s">
        <v>42</v>
      </c>
      <c r="G15" s="5" t="s">
        <v>17</v>
      </c>
      <c r="H15" s="5" t="s">
        <v>23</v>
      </c>
      <c r="I15" s="6">
        <v>78.3</v>
      </c>
      <c r="J15" s="7">
        <v>2</v>
      </c>
      <c r="K15" s="8">
        <v>0.2</v>
      </c>
      <c r="L15" s="6">
        <f t="shared" si="0"/>
        <v>125.28</v>
      </c>
      <c r="M15" s="7" t="s">
        <v>66</v>
      </c>
      <c r="N15" t="str">
        <f t="shared" ca="1" si="1"/>
        <v>Central  45689</v>
      </c>
      <c r="O15" s="7"/>
      <c r="P15" s="7"/>
      <c r="Q15" s="7"/>
      <c r="X15" s="1" t="s">
        <v>209</v>
      </c>
    </row>
    <row r="16" spans="1:35" ht="19.899999999999999" customHeight="1" thickBot="1" x14ac:dyDescent="0.35">
      <c r="A16" s="9">
        <f ca="1">DATE(YEAR(TODAY())-2,9,5)</f>
        <v>45540</v>
      </c>
      <c r="B16" s="9">
        <f ca="1">DATE(YEAR(TODAY())-2,9,10)</f>
        <v>45545</v>
      </c>
      <c r="C16" s="5" t="s">
        <v>20</v>
      </c>
      <c r="D16" s="5" t="s">
        <v>67</v>
      </c>
      <c r="E16" s="5" t="s">
        <v>62</v>
      </c>
      <c r="F16" s="5" t="s">
        <v>194</v>
      </c>
      <c r="G16" s="5" t="s">
        <v>28</v>
      </c>
      <c r="H16" s="5" t="s">
        <v>23</v>
      </c>
      <c r="I16" s="6">
        <v>77.88</v>
      </c>
      <c r="J16" s="7">
        <v>6</v>
      </c>
      <c r="K16" s="8">
        <v>0</v>
      </c>
      <c r="L16" s="6">
        <f t="shared" si="0"/>
        <v>467.28</v>
      </c>
      <c r="M16" s="7" t="s">
        <v>70</v>
      </c>
      <c r="N16" t="str">
        <f t="shared" ca="1" si="1"/>
        <v>South  45540</v>
      </c>
      <c r="O16" s="7"/>
      <c r="P16" s="7"/>
      <c r="Q16" s="7"/>
      <c r="S16" s="1" t="s">
        <v>210</v>
      </c>
    </row>
    <row r="17" spans="1:17" ht="19.899999999999999" customHeight="1" thickBot="1" x14ac:dyDescent="0.35">
      <c r="A17" s="9">
        <f ca="1">DATE(YEAR(TODAY())-3,12,26)</f>
        <v>45286</v>
      </c>
      <c r="B17" s="9">
        <f ca="1">DATE(YEAR(TODAY())-3,12,29)</f>
        <v>45289</v>
      </c>
      <c r="C17" s="5" t="s">
        <v>13</v>
      </c>
      <c r="D17" s="5" t="s">
        <v>71</v>
      </c>
      <c r="E17" s="5" t="s">
        <v>130</v>
      </c>
      <c r="F17" s="5" t="s">
        <v>131</v>
      </c>
      <c r="G17" s="5" t="s">
        <v>37</v>
      </c>
      <c r="H17" s="5" t="s">
        <v>32</v>
      </c>
      <c r="I17" s="6">
        <v>54.38</v>
      </c>
      <c r="J17" s="7">
        <v>2</v>
      </c>
      <c r="K17" s="8">
        <v>0.2</v>
      </c>
      <c r="L17" s="6">
        <f t="shared" si="0"/>
        <v>87.00800000000001</v>
      </c>
      <c r="M17" s="7" t="s">
        <v>74</v>
      </c>
      <c r="N17" t="str">
        <f t="shared" ca="1" si="1"/>
        <v>East  45286</v>
      </c>
      <c r="O17" s="7"/>
      <c r="P17" s="7"/>
      <c r="Q17" s="7"/>
    </row>
    <row r="18" spans="1:17" ht="19.899999999999999" customHeight="1" thickBot="1" x14ac:dyDescent="0.35">
      <c r="A18" s="9">
        <f ca="1">DATE(YEAR(TODAY())-1,9,18)</f>
        <v>45918</v>
      </c>
      <c r="B18" s="9">
        <f ca="1">DATE(YEAR(TODAY())-1,9,22)</f>
        <v>45922</v>
      </c>
      <c r="C18" s="5" t="s">
        <v>20</v>
      </c>
      <c r="D18" s="5" t="s">
        <v>75</v>
      </c>
      <c r="E18" s="5" t="s">
        <v>110</v>
      </c>
      <c r="F18" s="5" t="s">
        <v>27</v>
      </c>
      <c r="G18" s="5" t="s">
        <v>28</v>
      </c>
      <c r="H18" s="5" t="s">
        <v>23</v>
      </c>
      <c r="I18" s="6">
        <v>95.62</v>
      </c>
      <c r="J18" s="7">
        <v>2</v>
      </c>
      <c r="K18" s="8">
        <v>0.2</v>
      </c>
      <c r="L18" s="6">
        <f t="shared" si="0"/>
        <v>152.99200000000002</v>
      </c>
      <c r="M18" s="7" t="s">
        <v>78</v>
      </c>
      <c r="N18" t="str">
        <f t="shared" ca="1" si="1"/>
        <v>South  45918</v>
      </c>
      <c r="O18" s="7"/>
      <c r="P18" s="7"/>
      <c r="Q18" s="7"/>
    </row>
    <row r="19" spans="1:17" ht="19.899999999999999" customHeight="1" thickBot="1" x14ac:dyDescent="0.35">
      <c r="A19" s="9">
        <f ca="1">DATE(YEAR(TODAY())-2,4,4)</f>
        <v>45386</v>
      </c>
      <c r="B19" s="9">
        <f ca="1">DATE(YEAR(TODAY())-2,4,9)</f>
        <v>45391</v>
      </c>
      <c r="C19" s="5" t="s">
        <v>13</v>
      </c>
      <c r="D19" s="5" t="s">
        <v>79</v>
      </c>
      <c r="E19" s="5" t="s">
        <v>147</v>
      </c>
      <c r="F19" s="5" t="s">
        <v>69</v>
      </c>
      <c r="G19" s="5" t="s">
        <v>17</v>
      </c>
      <c r="H19" s="5" t="s">
        <v>23</v>
      </c>
      <c r="I19" s="6">
        <v>158.37</v>
      </c>
      <c r="J19" s="7">
        <v>7</v>
      </c>
      <c r="K19" s="8">
        <v>0.2</v>
      </c>
      <c r="L19" s="6">
        <f t="shared" si="0"/>
        <v>886.87200000000018</v>
      </c>
      <c r="M19" s="7" t="s">
        <v>80</v>
      </c>
      <c r="N19" t="str">
        <f t="shared" ca="1" si="1"/>
        <v>Central  45386</v>
      </c>
      <c r="O19" s="7"/>
      <c r="P19" s="7"/>
      <c r="Q19" s="7"/>
    </row>
    <row r="20" spans="1:17" ht="19.899999999999999" customHeight="1" thickBot="1" x14ac:dyDescent="0.35">
      <c r="A20" s="9">
        <f ca="1">DATE(YEAR(TODAY())-2,11,30)</f>
        <v>45626</v>
      </c>
      <c r="B20" s="9">
        <f ca="1">DATE(YEAR(TODAY())-2,12,3)</f>
        <v>45629</v>
      </c>
      <c r="C20" s="5" t="s">
        <v>13</v>
      </c>
      <c r="D20" s="5" t="s">
        <v>81</v>
      </c>
      <c r="E20" s="5" t="s">
        <v>143</v>
      </c>
      <c r="F20" s="5" t="s">
        <v>144</v>
      </c>
      <c r="G20" s="5" t="s">
        <v>17</v>
      </c>
      <c r="H20" s="5" t="s">
        <v>23</v>
      </c>
      <c r="I20" s="6">
        <v>23.92</v>
      </c>
      <c r="J20" s="7">
        <v>4</v>
      </c>
      <c r="K20" s="8">
        <v>0</v>
      </c>
      <c r="L20" s="6">
        <f t="shared" si="0"/>
        <v>95.68</v>
      </c>
      <c r="M20" s="7" t="s">
        <v>83</v>
      </c>
      <c r="N20" t="str">
        <f t="shared" ca="1" si="1"/>
        <v>Central  45626</v>
      </c>
      <c r="O20" s="7"/>
      <c r="P20" s="7"/>
      <c r="Q20" s="7"/>
    </row>
    <row r="21" spans="1:17" ht="19.899999999999999" customHeight="1" thickBot="1" x14ac:dyDescent="0.35">
      <c r="A21" s="9">
        <f ca="1">DATE(YEAR(TODAY())-2,12,7)</f>
        <v>45633</v>
      </c>
      <c r="B21" s="9">
        <f ca="1">DATE(YEAR(TODAY())-2,12,9)</f>
        <v>45635</v>
      </c>
      <c r="C21" s="5" t="s">
        <v>39</v>
      </c>
      <c r="D21" s="5" t="s">
        <v>84</v>
      </c>
      <c r="E21" s="5" t="s">
        <v>175</v>
      </c>
      <c r="F21" s="5" t="s">
        <v>176</v>
      </c>
      <c r="G21" s="5" t="s">
        <v>37</v>
      </c>
      <c r="H21" s="5" t="s">
        <v>32</v>
      </c>
      <c r="I21" s="6">
        <v>1097.54</v>
      </c>
      <c r="J21" s="7">
        <v>7</v>
      </c>
      <c r="K21" s="8">
        <v>0.2</v>
      </c>
      <c r="L21" s="6">
        <f t="shared" si="0"/>
        <v>6146.2240000000002</v>
      </c>
      <c r="M21" s="7" t="s">
        <v>60</v>
      </c>
      <c r="N21" t="str">
        <f t="shared" ca="1" si="1"/>
        <v>East  45633</v>
      </c>
      <c r="O21" s="7"/>
      <c r="P21" s="7"/>
      <c r="Q21" s="7"/>
    </row>
    <row r="22" spans="1:17" ht="19.899999999999999" customHeight="1" thickBot="1" x14ac:dyDescent="0.35">
      <c r="A22" s="9">
        <f ca="1">DATE(YEAR(TODAY())-3,4,3)</f>
        <v>45019</v>
      </c>
      <c r="B22" s="9">
        <f ca="1">DATE(YEAR(TODAY())-3,4,8)</f>
        <v>45024</v>
      </c>
      <c r="C22" s="5" t="s">
        <v>20</v>
      </c>
      <c r="D22" s="5" t="s">
        <v>86</v>
      </c>
      <c r="E22" s="5" t="s">
        <v>185</v>
      </c>
      <c r="F22" s="5" t="s">
        <v>77</v>
      </c>
      <c r="G22" s="5" t="s">
        <v>28</v>
      </c>
      <c r="H22" s="5" t="s">
        <v>23</v>
      </c>
      <c r="I22" s="6">
        <v>289</v>
      </c>
      <c r="J22" s="7">
        <v>1</v>
      </c>
      <c r="K22" s="8">
        <v>0.7</v>
      </c>
      <c r="L22" s="6">
        <f t="shared" si="0"/>
        <v>86.700000000000017</v>
      </c>
      <c r="M22" s="7" t="s">
        <v>89</v>
      </c>
      <c r="N22" t="str">
        <f t="shared" ca="1" si="1"/>
        <v>South  45019</v>
      </c>
      <c r="O22" s="7"/>
      <c r="P22" s="7"/>
      <c r="Q22" s="7"/>
    </row>
    <row r="23" spans="1:17" ht="19.899999999999999" customHeight="1" thickBot="1" x14ac:dyDescent="0.35">
      <c r="A23" s="9">
        <f ca="1">DATE(YEAR(TODAY())-3,11,20)</f>
        <v>45250</v>
      </c>
      <c r="B23" s="9">
        <f ca="1">DATE(YEAR(TODAY())-3,11,24)</f>
        <v>45254</v>
      </c>
      <c r="C23" s="5" t="s">
        <v>20</v>
      </c>
      <c r="D23" s="5" t="s">
        <v>90</v>
      </c>
      <c r="E23" s="5" t="s">
        <v>91</v>
      </c>
      <c r="F23" s="5" t="s">
        <v>16</v>
      </c>
      <c r="G23" s="5" t="s">
        <v>17</v>
      </c>
      <c r="H23" s="5" t="s">
        <v>23</v>
      </c>
      <c r="I23" s="6">
        <v>68.81</v>
      </c>
      <c r="J23" s="7">
        <v>5</v>
      </c>
      <c r="K23" s="8">
        <v>0.8</v>
      </c>
      <c r="L23" s="6">
        <f t="shared" si="0"/>
        <v>68.809999999999988</v>
      </c>
      <c r="M23" s="7" t="s">
        <v>92</v>
      </c>
      <c r="N23" t="str">
        <f t="shared" ca="1" si="1"/>
        <v>Central  45250</v>
      </c>
      <c r="O23" s="7"/>
      <c r="P23" s="7"/>
      <c r="Q23" s="7"/>
    </row>
    <row r="24" spans="1:17" ht="19.899999999999999" customHeight="1" thickBot="1" x14ac:dyDescent="0.35">
      <c r="A24" s="9">
        <f ca="1">DATE(YEAR(TODAY())-2,9,17)</f>
        <v>45552</v>
      </c>
      <c r="B24" s="9">
        <f ca="1">DATE(YEAR(TODAY())-2,9,22)</f>
        <v>45557</v>
      </c>
      <c r="C24" s="5" t="s">
        <v>20</v>
      </c>
      <c r="D24" s="5" t="s">
        <v>93</v>
      </c>
      <c r="E24" s="5" t="s">
        <v>113</v>
      </c>
      <c r="F24" s="5" t="s">
        <v>114</v>
      </c>
      <c r="G24" s="5" t="s">
        <v>17</v>
      </c>
      <c r="H24" s="5" t="s">
        <v>23</v>
      </c>
      <c r="I24" s="6">
        <v>4.62</v>
      </c>
      <c r="J24" s="7">
        <v>1</v>
      </c>
      <c r="K24" s="8">
        <v>0.2</v>
      </c>
      <c r="L24" s="6">
        <f t="shared" si="0"/>
        <v>3.6960000000000002</v>
      </c>
      <c r="M24" s="7" t="s">
        <v>94</v>
      </c>
      <c r="N24" t="str">
        <f t="shared" ca="1" si="1"/>
        <v>Central  45552</v>
      </c>
      <c r="O24" s="7"/>
      <c r="P24" s="7"/>
      <c r="Q24" s="7"/>
    </row>
    <row r="25" spans="1:17" ht="19.899999999999999" customHeight="1" thickBot="1" x14ac:dyDescent="0.35">
      <c r="A25" s="9">
        <f ca="1">DATE(YEAR(TODAY())-1,11,22)</f>
        <v>45983</v>
      </c>
      <c r="B25" s="9">
        <f ca="1">DATE(YEAR(TODAY())-1,11,27)</f>
        <v>45988</v>
      </c>
      <c r="C25" s="5" t="s">
        <v>20</v>
      </c>
      <c r="D25" s="5" t="s">
        <v>95</v>
      </c>
      <c r="E25" s="5" t="s">
        <v>124</v>
      </c>
      <c r="F25" s="5" t="s">
        <v>125</v>
      </c>
      <c r="G25" s="5" t="s">
        <v>17</v>
      </c>
      <c r="H25" s="5" t="s">
        <v>32</v>
      </c>
      <c r="I25" s="6">
        <v>74.11</v>
      </c>
      <c r="J25" s="7">
        <v>8</v>
      </c>
      <c r="K25" s="8">
        <v>0.2</v>
      </c>
      <c r="L25" s="6">
        <f t="shared" si="0"/>
        <v>474.30400000000003</v>
      </c>
      <c r="M25" s="7" t="s">
        <v>97</v>
      </c>
      <c r="N25" t="str">
        <f t="shared" ca="1" si="1"/>
        <v>Central  45983</v>
      </c>
      <c r="O25" s="7"/>
      <c r="P25" s="7"/>
      <c r="Q25" s="7"/>
    </row>
    <row r="26" spans="1:17" ht="19.899999999999999" customHeight="1" thickBot="1" x14ac:dyDescent="0.35">
      <c r="A26" s="9">
        <f ca="1">DATE(YEAR(TODAY())-2,12,10)</f>
        <v>45636</v>
      </c>
      <c r="B26" s="9">
        <f ca="1">DATE(YEAR(TODAY())-2,12,16)</f>
        <v>45642</v>
      </c>
      <c r="C26" s="5" t="s">
        <v>20</v>
      </c>
      <c r="D26" s="5" t="s">
        <v>98</v>
      </c>
      <c r="E26" s="5" t="s">
        <v>22</v>
      </c>
      <c r="F26" s="5" t="s">
        <v>16</v>
      </c>
      <c r="G26" s="5" t="s">
        <v>17</v>
      </c>
      <c r="H26" s="5" t="s">
        <v>32</v>
      </c>
      <c r="I26" s="6">
        <v>1029.95</v>
      </c>
      <c r="J26" s="7">
        <v>5</v>
      </c>
      <c r="K26" s="8">
        <v>0</v>
      </c>
      <c r="L26" s="6">
        <f t="shared" si="0"/>
        <v>5149.75</v>
      </c>
      <c r="M26" s="7" t="s">
        <v>99</v>
      </c>
      <c r="N26" t="str">
        <f t="shared" ca="1" si="1"/>
        <v>Central  45636</v>
      </c>
      <c r="O26" s="7"/>
      <c r="P26" s="7"/>
      <c r="Q26" s="7"/>
    </row>
    <row r="27" spans="1:17" ht="19.899999999999999" customHeight="1" thickBot="1" x14ac:dyDescent="0.35">
      <c r="A27" s="9">
        <f ca="1">DATE(YEAR(TODAY())-4,9,13)</f>
        <v>44817</v>
      </c>
      <c r="B27" s="9">
        <f ca="1">DATE(YEAR(TODAY())-4,9,18)</f>
        <v>44822</v>
      </c>
      <c r="C27" s="5" t="s">
        <v>20</v>
      </c>
      <c r="D27" s="5" t="s">
        <v>100</v>
      </c>
      <c r="E27" s="5" t="s">
        <v>35</v>
      </c>
      <c r="F27" s="5" t="s">
        <v>36</v>
      </c>
      <c r="G27" s="5" t="s">
        <v>37</v>
      </c>
      <c r="H27" s="5" t="s">
        <v>23</v>
      </c>
      <c r="I27" s="6">
        <v>52.45</v>
      </c>
      <c r="J27" s="7">
        <v>2</v>
      </c>
      <c r="K27" s="8">
        <v>0.8</v>
      </c>
      <c r="L27" s="6">
        <f t="shared" si="0"/>
        <v>20.979999999999997</v>
      </c>
      <c r="M27" s="7" t="s">
        <v>101</v>
      </c>
      <c r="N27" t="str">
        <f t="shared" ca="1" si="1"/>
        <v>East  44817</v>
      </c>
      <c r="O27" s="7"/>
      <c r="P27" s="7"/>
      <c r="Q27" s="7"/>
    </row>
    <row r="28" spans="1:17" ht="19.899999999999999" customHeight="1" thickBot="1" x14ac:dyDescent="0.35">
      <c r="A28" s="9">
        <f ca="1">DATE(YEAR(TODAY())-3,12,13)</f>
        <v>45273</v>
      </c>
      <c r="B28" s="9">
        <f ca="1">DATE(YEAR(TODAY())-3,12,17)</f>
        <v>45277</v>
      </c>
      <c r="C28" s="5" t="s">
        <v>20</v>
      </c>
      <c r="D28" s="5" t="s">
        <v>102</v>
      </c>
      <c r="E28" s="5" t="s">
        <v>45</v>
      </c>
      <c r="F28" s="5" t="s">
        <v>46</v>
      </c>
      <c r="G28" s="5" t="s">
        <v>28</v>
      </c>
      <c r="H28" s="5" t="s">
        <v>23</v>
      </c>
      <c r="I28" s="6">
        <v>3.28</v>
      </c>
      <c r="J28" s="7">
        <v>1</v>
      </c>
      <c r="K28" s="8">
        <v>0</v>
      </c>
      <c r="L28" s="6">
        <f t="shared" si="0"/>
        <v>3.28</v>
      </c>
      <c r="M28" s="7" t="s">
        <v>103</v>
      </c>
      <c r="N28" t="str">
        <f t="shared" ca="1" si="1"/>
        <v>South  45273</v>
      </c>
      <c r="O28" s="7"/>
      <c r="P28" s="7"/>
      <c r="Q28" s="7"/>
    </row>
    <row r="29" spans="1:17" ht="19.899999999999999" customHeight="1" thickBot="1" x14ac:dyDescent="0.35">
      <c r="A29" s="9">
        <f ca="1">DATE(YEAR(TODAY())-3,4,24)</f>
        <v>45040</v>
      </c>
      <c r="B29" s="9">
        <f ca="1">DATE(YEAR(TODAY())-3,4,30)</f>
        <v>45046</v>
      </c>
      <c r="C29" s="5" t="s">
        <v>20</v>
      </c>
      <c r="D29" s="5" t="s">
        <v>104</v>
      </c>
      <c r="E29" s="5" t="s">
        <v>15</v>
      </c>
      <c r="F29" s="5" t="s">
        <v>16</v>
      </c>
      <c r="G29" s="5" t="s">
        <v>17</v>
      </c>
      <c r="H29" s="5" t="s">
        <v>18</v>
      </c>
      <c r="I29" s="6">
        <v>831.94</v>
      </c>
      <c r="J29" s="7">
        <v>8</v>
      </c>
      <c r="K29" s="8">
        <v>0.2</v>
      </c>
      <c r="L29" s="6">
        <f t="shared" si="0"/>
        <v>5324.4160000000011</v>
      </c>
      <c r="M29" s="7" t="s">
        <v>106</v>
      </c>
      <c r="N29" t="str">
        <f t="shared" ca="1" si="1"/>
        <v>Central  45040</v>
      </c>
      <c r="O29" s="7"/>
      <c r="P29" s="7"/>
      <c r="Q29" s="7"/>
    </row>
    <row r="30" spans="1:17" ht="19.899999999999999" customHeight="1" thickBot="1" x14ac:dyDescent="0.35">
      <c r="A30" s="9">
        <f ca="1">DATE(YEAR(TODAY())-2,9,4)</f>
        <v>45539</v>
      </c>
      <c r="B30" s="9">
        <f ca="1">DATE(YEAR(TODAY())-2,9,6)</f>
        <v>45541</v>
      </c>
      <c r="C30" s="5" t="s">
        <v>13</v>
      </c>
      <c r="D30" s="5" t="s">
        <v>107</v>
      </c>
      <c r="E30" s="5" t="s">
        <v>15</v>
      </c>
      <c r="F30" s="5" t="s">
        <v>16</v>
      </c>
      <c r="G30" s="5" t="s">
        <v>17</v>
      </c>
      <c r="H30" s="5" t="s">
        <v>18</v>
      </c>
      <c r="I30" s="6">
        <v>82.8</v>
      </c>
      <c r="J30" s="7">
        <v>2</v>
      </c>
      <c r="K30" s="8">
        <v>0.2</v>
      </c>
      <c r="L30" s="6">
        <f t="shared" si="0"/>
        <v>132.47999999999999</v>
      </c>
      <c r="M30" s="7" t="s">
        <v>108</v>
      </c>
      <c r="N30" t="str">
        <f t="shared" ca="1" si="1"/>
        <v>Central  45539</v>
      </c>
      <c r="O30" s="7"/>
      <c r="P30" s="7"/>
      <c r="Q30" s="7"/>
    </row>
    <row r="31" spans="1:17" ht="19.899999999999999" customHeight="1" thickBot="1" x14ac:dyDescent="0.35">
      <c r="A31" s="9">
        <f ca="1">DATE(YEAR(TODAY())-3,9,1)</f>
        <v>45170</v>
      </c>
      <c r="B31" s="9">
        <f ca="1">DATE(YEAR(TODAY())-3,9,6)</f>
        <v>45175</v>
      </c>
      <c r="C31" s="5" t="s">
        <v>20</v>
      </c>
      <c r="D31" s="5" t="s">
        <v>109</v>
      </c>
      <c r="E31" s="5" t="s">
        <v>15</v>
      </c>
      <c r="F31" s="5" t="s">
        <v>16</v>
      </c>
      <c r="G31" s="5" t="s">
        <v>17</v>
      </c>
      <c r="H31" s="5" t="s">
        <v>23</v>
      </c>
      <c r="I31" s="6">
        <v>200.98</v>
      </c>
      <c r="J31" s="7">
        <v>7</v>
      </c>
      <c r="K31" s="8">
        <v>0.2</v>
      </c>
      <c r="L31" s="6">
        <f t="shared" si="0"/>
        <v>1125.4880000000001</v>
      </c>
      <c r="M31" s="7" t="s">
        <v>111</v>
      </c>
      <c r="N31" t="str">
        <f t="shared" ca="1" si="1"/>
        <v>Central  45170</v>
      </c>
      <c r="O31" s="7"/>
      <c r="P31" s="7"/>
      <c r="Q31" s="7"/>
    </row>
    <row r="32" spans="1:17" ht="19.899999999999999" customHeight="1" thickBot="1" x14ac:dyDescent="0.35">
      <c r="A32" s="9">
        <f ca="1">DATE(YEAR(TODAY())-2,12,4)</f>
        <v>45630</v>
      </c>
      <c r="B32" s="9">
        <f ca="1">DATE(YEAR(TODAY())-2,12,8)</f>
        <v>45634</v>
      </c>
      <c r="C32" s="5" t="s">
        <v>20</v>
      </c>
      <c r="D32" s="5" t="s">
        <v>112</v>
      </c>
      <c r="E32" s="5" t="s">
        <v>15</v>
      </c>
      <c r="F32" s="5" t="s">
        <v>16</v>
      </c>
      <c r="G32" s="5" t="s">
        <v>17</v>
      </c>
      <c r="H32" s="5" t="s">
        <v>18</v>
      </c>
      <c r="I32" s="6">
        <v>113</v>
      </c>
      <c r="J32" s="7">
        <v>8</v>
      </c>
      <c r="K32" s="8">
        <v>0</v>
      </c>
      <c r="L32" s="6">
        <f t="shared" si="0"/>
        <v>904</v>
      </c>
      <c r="M32" s="7" t="s">
        <v>115</v>
      </c>
      <c r="N32" t="str">
        <f t="shared" ca="1" si="1"/>
        <v>Central  45630</v>
      </c>
      <c r="O32" s="7"/>
      <c r="P32" s="7"/>
      <c r="Q32" s="7"/>
    </row>
    <row r="33" spans="1:17" ht="19.899999999999999" customHeight="1" thickBot="1" x14ac:dyDescent="0.35">
      <c r="A33" s="9">
        <f ca="1">DATE(YEAR(TODAY())-2,6,3)</f>
        <v>45446</v>
      </c>
      <c r="B33" s="9">
        <f ca="1">DATE(YEAR(TODAY())-2,6,5)</f>
        <v>45448</v>
      </c>
      <c r="C33" s="5" t="s">
        <v>39</v>
      </c>
      <c r="D33" s="5" t="s">
        <v>116</v>
      </c>
      <c r="E33" s="5" t="s">
        <v>15</v>
      </c>
      <c r="F33" s="5" t="s">
        <v>16</v>
      </c>
      <c r="G33" s="5" t="s">
        <v>17</v>
      </c>
      <c r="H33" s="5" t="s">
        <v>23</v>
      </c>
      <c r="I33" s="6">
        <v>75.88</v>
      </c>
      <c r="J33" s="7">
        <v>2</v>
      </c>
      <c r="K33" s="8">
        <v>0</v>
      </c>
      <c r="L33" s="6">
        <f t="shared" si="0"/>
        <v>151.76</v>
      </c>
      <c r="M33" s="7" t="s">
        <v>119</v>
      </c>
      <c r="N33" t="str">
        <f t="shared" ca="1" si="1"/>
        <v>Central  45446</v>
      </c>
      <c r="O33" s="7"/>
      <c r="P33" s="7"/>
      <c r="Q33" s="7"/>
    </row>
    <row r="34" spans="1:17" ht="19.899999999999999" customHeight="1" thickBot="1" x14ac:dyDescent="0.35">
      <c r="A34" s="9">
        <f ca="1">DATE(YEAR(TODAY())-3,1,30)</f>
        <v>44956</v>
      </c>
      <c r="B34" s="9">
        <f ca="1">DATE(YEAR(TODAY())-3,2,4)</f>
        <v>44961</v>
      </c>
      <c r="C34" s="5" t="s">
        <v>13</v>
      </c>
      <c r="D34" s="5" t="s">
        <v>120</v>
      </c>
      <c r="E34" s="5" t="s">
        <v>15</v>
      </c>
      <c r="F34" s="5" t="s">
        <v>16</v>
      </c>
      <c r="G34" s="5" t="s">
        <v>17</v>
      </c>
      <c r="H34" s="5" t="s">
        <v>18</v>
      </c>
      <c r="I34" s="6">
        <v>53.34</v>
      </c>
      <c r="J34" s="7">
        <v>3</v>
      </c>
      <c r="K34" s="8">
        <v>0</v>
      </c>
      <c r="L34" s="6">
        <f t="shared" si="0"/>
        <v>160.02000000000001</v>
      </c>
      <c r="M34" s="7" t="s">
        <v>122</v>
      </c>
      <c r="N34" t="str">
        <f t="shared" ca="1" si="1"/>
        <v>Central  44956</v>
      </c>
      <c r="O34" s="7"/>
      <c r="P34" s="7"/>
      <c r="Q34" s="7"/>
    </row>
    <row r="35" spans="1:17" ht="19.899999999999999" customHeight="1" thickBot="1" x14ac:dyDescent="0.35">
      <c r="A35" s="9">
        <f ca="1">DATE(YEAR(TODAY())-2,12,8)</f>
        <v>45634</v>
      </c>
      <c r="B35" s="9">
        <f ca="1">DATE(YEAR(TODAY())-2,12,12)</f>
        <v>45638</v>
      </c>
      <c r="C35" s="5" t="s">
        <v>20</v>
      </c>
      <c r="D35" s="5" t="s">
        <v>123</v>
      </c>
      <c r="E35" s="5" t="s">
        <v>181</v>
      </c>
      <c r="F35" s="5" t="s">
        <v>182</v>
      </c>
      <c r="G35" s="5" t="s">
        <v>17</v>
      </c>
      <c r="H35" s="5" t="s">
        <v>23</v>
      </c>
      <c r="I35" s="6">
        <v>60.34</v>
      </c>
      <c r="J35" s="7">
        <v>7</v>
      </c>
      <c r="K35" s="8">
        <v>0</v>
      </c>
      <c r="L35" s="6">
        <f t="shared" si="0"/>
        <v>422.38</v>
      </c>
      <c r="M35" s="7" t="s">
        <v>126</v>
      </c>
      <c r="N35" t="str">
        <f t="shared" ca="1" si="1"/>
        <v>Central  45634</v>
      </c>
      <c r="O35" s="7"/>
      <c r="P35" s="7"/>
      <c r="Q35" s="7"/>
    </row>
    <row r="36" spans="1:17" ht="19.899999999999999" customHeight="1" thickBot="1" x14ac:dyDescent="0.35">
      <c r="A36" s="9">
        <f ca="1">DATE(YEAR(TODAY())-1,12,8)</f>
        <v>45999</v>
      </c>
      <c r="B36" s="9">
        <f ca="1">DATE(YEAR(TODAY())-1,12,10)</f>
        <v>46001</v>
      </c>
      <c r="C36" s="5" t="s">
        <v>39</v>
      </c>
      <c r="D36" s="5" t="s">
        <v>127</v>
      </c>
      <c r="E36" s="5" t="s">
        <v>161</v>
      </c>
      <c r="F36" s="5" t="s">
        <v>114</v>
      </c>
      <c r="G36" s="5" t="s">
        <v>17</v>
      </c>
      <c r="H36" s="5" t="s">
        <v>23</v>
      </c>
      <c r="I36" s="6">
        <v>27.24</v>
      </c>
      <c r="J36" s="7">
        <v>3</v>
      </c>
      <c r="K36" s="8">
        <v>0.2</v>
      </c>
      <c r="L36" s="6">
        <f t="shared" ref="L36:L64" si="2">I36*J36*(1-K36)</f>
        <v>65.376000000000005</v>
      </c>
      <c r="M36" s="7" t="s">
        <v>128</v>
      </c>
      <c r="N36" t="str">
        <f t="shared" ca="1" si="1"/>
        <v>Central  45999</v>
      </c>
      <c r="O36" s="7"/>
      <c r="P36" s="7"/>
      <c r="Q36" s="7"/>
    </row>
    <row r="37" spans="1:17" ht="19.899999999999999" customHeight="1" thickBot="1" x14ac:dyDescent="0.35">
      <c r="A37" s="9">
        <f ca="1">DATE(YEAR(TODAY())-2,6,19)</f>
        <v>45462</v>
      </c>
      <c r="B37" s="9">
        <f ca="1">DATE(YEAR(TODAY())-2,6,24)</f>
        <v>45467</v>
      </c>
      <c r="C37" s="5" t="s">
        <v>20</v>
      </c>
      <c r="D37" s="5" t="s">
        <v>129</v>
      </c>
      <c r="E37" s="5" t="s">
        <v>76</v>
      </c>
      <c r="F37" s="5" t="s">
        <v>77</v>
      </c>
      <c r="G37" s="5" t="s">
        <v>28</v>
      </c>
      <c r="H37" s="5" t="s">
        <v>32</v>
      </c>
      <c r="I37" s="6">
        <v>45</v>
      </c>
      <c r="J37" s="7">
        <v>3</v>
      </c>
      <c r="K37" s="8">
        <v>0</v>
      </c>
      <c r="L37" s="6">
        <f t="shared" si="2"/>
        <v>135</v>
      </c>
      <c r="M37" s="7" t="s">
        <v>132</v>
      </c>
      <c r="N37" t="str">
        <f t="shared" ca="1" si="1"/>
        <v>South  45462</v>
      </c>
      <c r="O37" s="7"/>
      <c r="P37" s="7"/>
      <c r="Q37" s="7"/>
    </row>
    <row r="38" spans="1:17" ht="19.899999999999999" customHeight="1" thickBot="1" x14ac:dyDescent="0.35">
      <c r="A38" s="9">
        <f ca="1">DATE(YEAR(TODAY())-1,9,9)</f>
        <v>45909</v>
      </c>
      <c r="B38" s="9">
        <f ca="1">DATE(YEAR(TODAY())-1,9,14)</f>
        <v>45914</v>
      </c>
      <c r="C38" s="5" t="s">
        <v>20</v>
      </c>
      <c r="D38" s="5" t="s">
        <v>206</v>
      </c>
      <c r="E38" s="5" t="s">
        <v>105</v>
      </c>
      <c r="F38" s="5" t="s">
        <v>88</v>
      </c>
      <c r="G38" s="5" t="s">
        <v>28</v>
      </c>
      <c r="H38" s="5" t="s">
        <v>32</v>
      </c>
      <c r="I38" s="6">
        <v>147.16999999999999</v>
      </c>
      <c r="J38" s="7">
        <v>4</v>
      </c>
      <c r="K38" s="8">
        <v>0.2</v>
      </c>
      <c r="L38" s="6">
        <f t="shared" si="2"/>
        <v>470.94399999999996</v>
      </c>
      <c r="M38" s="7" t="s">
        <v>134</v>
      </c>
      <c r="N38" t="str">
        <f t="shared" ca="1" si="1"/>
        <v>South  45909</v>
      </c>
      <c r="O38" s="7"/>
      <c r="P38" s="7"/>
      <c r="Q38" s="7"/>
    </row>
    <row r="39" spans="1:17" ht="19.899999999999999" customHeight="1" thickBot="1" x14ac:dyDescent="0.35">
      <c r="A39" s="9">
        <f ca="1">DATE(YEAR(TODAY())-3,10,10)</f>
        <v>45209</v>
      </c>
      <c r="B39" s="9">
        <f ca="1">DATE(YEAR(TODAY())-3,10,12)</f>
        <v>45211</v>
      </c>
      <c r="C39" s="5" t="s">
        <v>39</v>
      </c>
      <c r="D39" s="5" t="s">
        <v>135</v>
      </c>
      <c r="E39" s="5" t="s">
        <v>121</v>
      </c>
      <c r="F39" s="5" t="s">
        <v>69</v>
      </c>
      <c r="G39" s="5" t="s">
        <v>17</v>
      </c>
      <c r="H39" s="5" t="s">
        <v>18</v>
      </c>
      <c r="I39" s="6">
        <v>899.14</v>
      </c>
      <c r="J39" s="7">
        <v>4</v>
      </c>
      <c r="K39" s="8">
        <v>0.2</v>
      </c>
      <c r="L39" s="6">
        <f t="shared" si="2"/>
        <v>2877.248</v>
      </c>
      <c r="M39" s="7" t="s">
        <v>136</v>
      </c>
      <c r="N39" t="str">
        <f t="shared" ca="1" si="1"/>
        <v>Central  45209</v>
      </c>
      <c r="O39" s="7"/>
      <c r="P39" s="7"/>
      <c r="Q39" s="7"/>
    </row>
    <row r="40" spans="1:17" ht="19.899999999999999" customHeight="1" thickBot="1" x14ac:dyDescent="0.35">
      <c r="A40" s="9">
        <f ca="1">DATE(YEAR(TODAY())-1,10,18)</f>
        <v>45948</v>
      </c>
      <c r="B40" s="9">
        <f ca="1">DATE(YEAR(TODAY())-1,10,22)</f>
        <v>45952</v>
      </c>
      <c r="C40" s="5" t="s">
        <v>13</v>
      </c>
      <c r="D40" s="5" t="s">
        <v>137</v>
      </c>
      <c r="E40" s="5" t="s">
        <v>169</v>
      </c>
      <c r="F40" s="5" t="s">
        <v>170</v>
      </c>
      <c r="G40" s="5" t="s">
        <v>28</v>
      </c>
      <c r="H40" s="5" t="s">
        <v>23</v>
      </c>
      <c r="I40" s="6">
        <v>29.47</v>
      </c>
      <c r="J40" s="7">
        <v>3</v>
      </c>
      <c r="K40" s="8">
        <v>0.2</v>
      </c>
      <c r="L40" s="6">
        <f t="shared" si="2"/>
        <v>70.727999999999994</v>
      </c>
      <c r="M40" s="7" t="s">
        <v>138</v>
      </c>
      <c r="N40" t="str">
        <f t="shared" ca="1" si="1"/>
        <v>South  45948</v>
      </c>
      <c r="O40" s="7"/>
      <c r="P40" s="7"/>
      <c r="Q40" s="7"/>
    </row>
    <row r="41" spans="1:17" ht="19.899999999999999" customHeight="1" thickBot="1" x14ac:dyDescent="0.35">
      <c r="A41" s="9">
        <f ca="1">DATE(YEAR(TODAY())-4,10,21)</f>
        <v>44855</v>
      </c>
      <c r="B41" s="9">
        <f ca="1">DATE(YEAR(TODAY())-4,10,27)</f>
        <v>44861</v>
      </c>
      <c r="C41" s="5" t="s">
        <v>20</v>
      </c>
      <c r="D41" s="5" t="s">
        <v>139</v>
      </c>
      <c r="E41" s="5" t="s">
        <v>133</v>
      </c>
      <c r="F41" s="5" t="s">
        <v>42</v>
      </c>
      <c r="G41" s="5" t="s">
        <v>17</v>
      </c>
      <c r="H41" s="5" t="s">
        <v>18</v>
      </c>
      <c r="I41" s="6">
        <v>93.89</v>
      </c>
      <c r="J41" s="7">
        <v>4</v>
      </c>
      <c r="K41" s="8">
        <v>0.2</v>
      </c>
      <c r="L41" s="6">
        <f t="shared" si="2"/>
        <v>300.44800000000004</v>
      </c>
      <c r="M41" s="7" t="s">
        <v>141</v>
      </c>
      <c r="N41" t="str">
        <f t="shared" ca="1" si="1"/>
        <v>Central  44855</v>
      </c>
      <c r="O41" s="7"/>
      <c r="P41" s="7"/>
      <c r="Q41" s="7"/>
    </row>
    <row r="42" spans="1:17" ht="19.899999999999999" customHeight="1" thickBot="1" x14ac:dyDescent="0.35">
      <c r="A42" s="9">
        <f ca="1">DATE(YEAR(TODAY())-2,11,19)</f>
        <v>45615</v>
      </c>
      <c r="B42" s="9">
        <f ca="1">DATE(YEAR(TODAY())-2,11,23)</f>
        <v>45619</v>
      </c>
      <c r="C42" s="5" t="s">
        <v>20</v>
      </c>
      <c r="D42" s="5" t="s">
        <v>142</v>
      </c>
      <c r="E42" s="5" t="s">
        <v>57</v>
      </c>
      <c r="F42" s="5" t="s">
        <v>58</v>
      </c>
      <c r="G42" s="5" t="s">
        <v>17</v>
      </c>
      <c r="H42" s="5" t="s">
        <v>32</v>
      </c>
      <c r="I42" s="6">
        <v>944.93</v>
      </c>
      <c r="J42" s="7">
        <v>7</v>
      </c>
      <c r="K42" s="8">
        <v>0</v>
      </c>
      <c r="L42" s="6">
        <f t="shared" si="2"/>
        <v>6614.5099999999993</v>
      </c>
      <c r="M42" s="7" t="s">
        <v>145</v>
      </c>
      <c r="N42" t="str">
        <f t="shared" ca="1" si="1"/>
        <v>Central  45615</v>
      </c>
      <c r="O42" s="7"/>
      <c r="P42" s="7"/>
      <c r="Q42" s="7"/>
    </row>
    <row r="43" spans="1:17" ht="19.899999999999999" customHeight="1" thickBot="1" x14ac:dyDescent="0.35">
      <c r="A43" s="9">
        <f ca="1">DATE(YEAR(TODAY())-2,3,10)</f>
        <v>45361</v>
      </c>
      <c r="B43" s="9">
        <f ca="1">DATE(YEAR(TODAY())-2,3,12)</f>
        <v>45363</v>
      </c>
      <c r="C43" s="5" t="s">
        <v>39</v>
      </c>
      <c r="D43" s="5" t="s">
        <v>146</v>
      </c>
      <c r="E43" s="5" t="s">
        <v>53</v>
      </c>
      <c r="F43" s="5" t="s">
        <v>54</v>
      </c>
      <c r="G43" s="5" t="s">
        <v>37</v>
      </c>
      <c r="H43" s="5" t="s">
        <v>32</v>
      </c>
      <c r="I43" s="6">
        <v>45.98</v>
      </c>
      <c r="J43" s="7">
        <v>2</v>
      </c>
      <c r="K43" s="8">
        <v>0</v>
      </c>
      <c r="L43" s="6">
        <f t="shared" si="2"/>
        <v>91.96</v>
      </c>
      <c r="M43" s="7" t="s">
        <v>148</v>
      </c>
      <c r="N43" t="str">
        <f t="shared" ca="1" si="1"/>
        <v>East  45361</v>
      </c>
      <c r="O43" s="7"/>
      <c r="P43" s="7"/>
      <c r="Q43" s="7"/>
    </row>
    <row r="44" spans="1:17" ht="19.899999999999999" customHeight="1" thickBot="1" x14ac:dyDescent="0.35">
      <c r="A44" s="9">
        <f ca="1">DATE(YEAR(TODAY())-1,11,8)</f>
        <v>45969</v>
      </c>
      <c r="B44" s="9">
        <f ca="1">DATE(YEAR(TODAY())-1,11,10)</f>
        <v>45971</v>
      </c>
      <c r="C44" s="5" t="s">
        <v>13</v>
      </c>
      <c r="D44" s="5" t="s">
        <v>149</v>
      </c>
      <c r="E44" s="5" t="s">
        <v>53</v>
      </c>
      <c r="F44" s="5" t="s">
        <v>54</v>
      </c>
      <c r="G44" s="5" t="s">
        <v>37</v>
      </c>
      <c r="H44" s="5" t="s">
        <v>18</v>
      </c>
      <c r="I44" s="6">
        <v>96.53</v>
      </c>
      <c r="J44" s="7">
        <v>7</v>
      </c>
      <c r="K44" s="8">
        <v>0</v>
      </c>
      <c r="L44" s="6">
        <f t="shared" si="2"/>
        <v>675.71</v>
      </c>
      <c r="M44" s="7" t="s">
        <v>150</v>
      </c>
      <c r="N44" t="str">
        <f t="shared" ca="1" si="1"/>
        <v>East  45969</v>
      </c>
      <c r="O44" s="7"/>
      <c r="P44" s="7"/>
      <c r="Q44" s="7"/>
    </row>
    <row r="45" spans="1:17" ht="19.899999999999999" customHeight="1" thickBot="1" x14ac:dyDescent="0.35">
      <c r="A45" s="9">
        <f ca="1">DATE(YEAR(TODAY())-1,5,27)</f>
        <v>45804</v>
      </c>
      <c r="B45" s="9">
        <f ca="1">DATE(YEAR(TODAY())-1,5,29)</f>
        <v>45806</v>
      </c>
      <c r="C45" s="5" t="s">
        <v>13</v>
      </c>
      <c r="D45" s="5" t="s">
        <v>151</v>
      </c>
      <c r="E45" s="5" t="s">
        <v>53</v>
      </c>
      <c r="F45" s="5" t="s">
        <v>54</v>
      </c>
      <c r="G45" s="5" t="s">
        <v>37</v>
      </c>
      <c r="H45" s="5" t="s">
        <v>18</v>
      </c>
      <c r="I45" s="6">
        <v>301.95999999999998</v>
      </c>
      <c r="J45" s="7">
        <v>2</v>
      </c>
      <c r="K45" s="8">
        <v>0</v>
      </c>
      <c r="L45" s="6">
        <f t="shared" si="2"/>
        <v>603.91999999999996</v>
      </c>
      <c r="M45" s="7" t="s">
        <v>60</v>
      </c>
      <c r="N45" t="str">
        <f t="shared" ca="1" si="1"/>
        <v>East  45804</v>
      </c>
      <c r="O45" s="7"/>
      <c r="P45" s="7"/>
      <c r="Q45" s="7"/>
    </row>
    <row r="46" spans="1:17" ht="19.899999999999999" customHeight="1" thickBot="1" x14ac:dyDescent="0.35">
      <c r="A46" s="9">
        <f ca="1">DATE(YEAR(TODAY())-1,10,25)</f>
        <v>45955</v>
      </c>
      <c r="B46" s="9">
        <f ca="1">DATE(YEAR(TODAY())-1,11,1)</f>
        <v>45962</v>
      </c>
      <c r="C46" s="5" t="s">
        <v>20</v>
      </c>
      <c r="D46" s="5" t="s">
        <v>154</v>
      </c>
      <c r="E46" s="5" t="s">
        <v>53</v>
      </c>
      <c r="F46" s="5" t="s">
        <v>54</v>
      </c>
      <c r="G46" s="5" t="s">
        <v>37</v>
      </c>
      <c r="H46" s="5" t="s">
        <v>32</v>
      </c>
      <c r="I46" s="6">
        <v>19.989999999999998</v>
      </c>
      <c r="J46" s="7">
        <v>1</v>
      </c>
      <c r="K46" s="8">
        <v>0</v>
      </c>
      <c r="L46" s="6">
        <f t="shared" si="2"/>
        <v>19.989999999999998</v>
      </c>
      <c r="M46" s="7" t="s">
        <v>78</v>
      </c>
      <c r="N46" t="str">
        <f t="shared" ca="1" si="1"/>
        <v>East  45955</v>
      </c>
      <c r="O46" s="7"/>
      <c r="P46" s="7"/>
      <c r="Q46" s="7"/>
    </row>
    <row r="47" spans="1:17" ht="19.899999999999999" customHeight="1" thickBot="1" x14ac:dyDescent="0.35">
      <c r="A47" s="9">
        <f ca="1">DATE(YEAR(TODAY())-3,4,28)</f>
        <v>45044</v>
      </c>
      <c r="B47" s="9">
        <f ca="1">DATE(YEAR(TODAY())-3,5,3)</f>
        <v>45049</v>
      </c>
      <c r="C47" s="5" t="s">
        <v>20</v>
      </c>
      <c r="D47" s="5" t="s">
        <v>155</v>
      </c>
      <c r="E47" s="5" t="s">
        <v>53</v>
      </c>
      <c r="F47" s="5" t="s">
        <v>54</v>
      </c>
      <c r="G47" s="5" t="s">
        <v>37</v>
      </c>
      <c r="H47" s="5" t="s">
        <v>18</v>
      </c>
      <c r="I47" s="6">
        <v>213.12</v>
      </c>
      <c r="J47" s="7">
        <v>5</v>
      </c>
      <c r="K47" s="8">
        <v>0.3</v>
      </c>
      <c r="L47" s="6">
        <f t="shared" si="2"/>
        <v>745.91999999999985</v>
      </c>
      <c r="M47" s="7" t="s">
        <v>156</v>
      </c>
      <c r="N47" t="str">
        <f t="shared" ca="1" si="1"/>
        <v>East  45044</v>
      </c>
      <c r="O47" s="7"/>
      <c r="P47" s="7"/>
      <c r="Q47" s="7"/>
    </row>
    <row r="48" spans="1:17" ht="19.899999999999999" customHeight="1" thickBot="1" x14ac:dyDescent="0.35">
      <c r="A48" s="9">
        <f ca="1">DATE(YEAR(TODAY())-3,10,13)</f>
        <v>45212</v>
      </c>
      <c r="B48" s="9">
        <f ca="1">DATE(YEAR(TODAY())-3,10,18)</f>
        <v>45217</v>
      </c>
      <c r="C48" s="5" t="s">
        <v>20</v>
      </c>
      <c r="D48" s="5" t="s">
        <v>157</v>
      </c>
      <c r="E48" s="5" t="s">
        <v>53</v>
      </c>
      <c r="F48" s="5" t="s">
        <v>54</v>
      </c>
      <c r="G48" s="5" t="s">
        <v>37</v>
      </c>
      <c r="H48" s="5" t="s">
        <v>32</v>
      </c>
      <c r="I48" s="6">
        <v>339.96</v>
      </c>
      <c r="J48" s="7">
        <v>5</v>
      </c>
      <c r="K48" s="8">
        <v>0.2</v>
      </c>
      <c r="L48" s="6">
        <f t="shared" si="2"/>
        <v>1359.8400000000001</v>
      </c>
      <c r="M48" s="7" t="s">
        <v>159</v>
      </c>
      <c r="N48" t="str">
        <f t="shared" ca="1" si="1"/>
        <v>East  45212</v>
      </c>
      <c r="O48" s="7"/>
      <c r="P48" s="7"/>
      <c r="Q48" s="7"/>
    </row>
    <row r="49" spans="1:17" ht="19.899999999999999" customHeight="1" thickBot="1" x14ac:dyDescent="0.35">
      <c r="A49" s="9">
        <f ca="1">DATE(YEAR(TODAY())-4,11,10)</f>
        <v>44875</v>
      </c>
      <c r="B49" s="9">
        <f ca="1">DATE(YEAR(TODAY())-4,11,17)</f>
        <v>44882</v>
      </c>
      <c r="C49" s="5" t="s">
        <v>20</v>
      </c>
      <c r="D49" s="5" t="s">
        <v>160</v>
      </c>
      <c r="E49" s="5" t="s">
        <v>140</v>
      </c>
      <c r="F49" s="5" t="s">
        <v>36</v>
      </c>
      <c r="G49" s="5" t="s">
        <v>37</v>
      </c>
      <c r="H49" s="5" t="s">
        <v>23</v>
      </c>
      <c r="I49" s="6">
        <v>665.88</v>
      </c>
      <c r="J49" s="7">
        <v>6</v>
      </c>
      <c r="K49" s="8">
        <v>0</v>
      </c>
      <c r="L49" s="6">
        <f t="shared" si="2"/>
        <v>3995.2799999999997</v>
      </c>
      <c r="M49" s="7" t="s">
        <v>162</v>
      </c>
      <c r="N49" t="str">
        <f t="shared" ca="1" si="1"/>
        <v>East  44875</v>
      </c>
      <c r="O49" s="7"/>
      <c r="P49" s="16"/>
      <c r="Q49" s="16"/>
    </row>
    <row r="50" spans="1:17" ht="19.899999999999999" customHeight="1" thickBot="1" x14ac:dyDescent="0.35">
      <c r="A50" s="9">
        <f ca="1">DATE(YEAR(TODAY())-4,9,19)</f>
        <v>44823</v>
      </c>
      <c r="B50" s="9">
        <f ca="1">DATE(YEAR(TODAY())-4,9,24)</f>
        <v>44828</v>
      </c>
      <c r="C50" s="5" t="s">
        <v>20</v>
      </c>
      <c r="D50" s="5" t="s">
        <v>163</v>
      </c>
      <c r="E50" s="5" t="s">
        <v>158</v>
      </c>
      <c r="F50" s="5" t="s">
        <v>42</v>
      </c>
      <c r="G50" s="5" t="s">
        <v>17</v>
      </c>
      <c r="H50" s="5" t="s">
        <v>18</v>
      </c>
      <c r="I50" s="6">
        <v>617.70000000000005</v>
      </c>
      <c r="J50" s="7">
        <v>6</v>
      </c>
      <c r="K50" s="8">
        <v>0.5</v>
      </c>
      <c r="L50" s="6">
        <f t="shared" si="2"/>
        <v>1853.1000000000001</v>
      </c>
      <c r="M50" s="7" t="s">
        <v>165</v>
      </c>
      <c r="N50" t="str">
        <f t="shared" ca="1" si="1"/>
        <v>Central  44823</v>
      </c>
      <c r="O50" s="16"/>
      <c r="P50" s="7"/>
      <c r="Q50" s="7"/>
    </row>
    <row r="51" spans="1:17" ht="19.899999999999999" customHeight="1" thickBot="1" x14ac:dyDescent="0.35">
      <c r="A51" s="9">
        <f ca="1">DATE(YEAR(TODAY())-2,8,28)</f>
        <v>45532</v>
      </c>
      <c r="B51" s="9">
        <f ca="1">DATE(YEAR(TODAY())-2,9,1)</f>
        <v>45536</v>
      </c>
      <c r="C51" s="5" t="s">
        <v>20</v>
      </c>
      <c r="D51" s="5" t="s">
        <v>166</v>
      </c>
      <c r="E51" s="5" t="s">
        <v>72</v>
      </c>
      <c r="F51" s="5" t="s">
        <v>73</v>
      </c>
      <c r="G51" s="5" t="s">
        <v>37</v>
      </c>
      <c r="H51" s="5" t="s">
        <v>32</v>
      </c>
      <c r="I51" s="6">
        <v>95.98</v>
      </c>
      <c r="J51" s="7">
        <v>3</v>
      </c>
      <c r="K51" s="8">
        <v>0.2</v>
      </c>
      <c r="L51" s="6">
        <f t="shared" si="2"/>
        <v>230.352</v>
      </c>
      <c r="M51" s="7" t="s">
        <v>167</v>
      </c>
      <c r="N51" t="str">
        <f t="shared" ca="1" si="1"/>
        <v>East  45532</v>
      </c>
      <c r="O51" s="7"/>
      <c r="P51" s="7"/>
      <c r="Q51" s="7"/>
    </row>
    <row r="52" spans="1:17" ht="19.899999999999999" customHeight="1" thickBot="1" x14ac:dyDescent="0.35">
      <c r="A52" s="9">
        <f ca="1">DATE(YEAR(TODAY())-4,11,18)</f>
        <v>44883</v>
      </c>
      <c r="B52" s="9">
        <f ca="1">DATE(YEAR(TODAY())-4,11,23)</f>
        <v>44888</v>
      </c>
      <c r="C52" s="5" t="s">
        <v>13</v>
      </c>
      <c r="D52" s="5" t="s">
        <v>168</v>
      </c>
      <c r="E52" s="5" t="s">
        <v>72</v>
      </c>
      <c r="F52" s="5" t="s">
        <v>73</v>
      </c>
      <c r="G52" s="5" t="s">
        <v>37</v>
      </c>
      <c r="H52" s="5" t="s">
        <v>32</v>
      </c>
      <c r="I52" s="6">
        <v>503.96</v>
      </c>
      <c r="J52" s="7">
        <v>4</v>
      </c>
      <c r="K52" s="8">
        <v>0</v>
      </c>
      <c r="L52" s="6">
        <f t="shared" si="2"/>
        <v>2015.84</v>
      </c>
      <c r="M52" s="7" t="s">
        <v>171</v>
      </c>
      <c r="N52" t="str">
        <f t="shared" ca="1" si="1"/>
        <v>East  44883</v>
      </c>
      <c r="O52" s="7"/>
      <c r="P52" s="7"/>
      <c r="Q52" s="7"/>
    </row>
    <row r="53" spans="1:17" ht="19.899999999999999" customHeight="1" thickBot="1" x14ac:dyDescent="0.35">
      <c r="A53" s="9">
        <f ca="1">DATE(YEAR(TODAY())-4,8,24)</f>
        <v>44797</v>
      </c>
      <c r="B53" s="9">
        <f ca="1">DATE(YEAR(TODAY())-4,8,26)</f>
        <v>44799</v>
      </c>
      <c r="C53" s="5" t="s">
        <v>13</v>
      </c>
      <c r="D53" s="5" t="s">
        <v>172</v>
      </c>
      <c r="E53" s="5" t="s">
        <v>72</v>
      </c>
      <c r="F53" s="5" t="s">
        <v>73</v>
      </c>
      <c r="G53" s="5" t="s">
        <v>37</v>
      </c>
      <c r="H53" s="5" t="s">
        <v>23</v>
      </c>
      <c r="I53" s="6">
        <v>130.46</v>
      </c>
      <c r="J53" s="7">
        <v>6</v>
      </c>
      <c r="K53" s="8">
        <v>0.2</v>
      </c>
      <c r="L53" s="6">
        <f t="shared" si="2"/>
        <v>626.20800000000008</v>
      </c>
      <c r="M53" s="7" t="s">
        <v>173</v>
      </c>
      <c r="N53" t="str">
        <f t="shared" ca="1" si="1"/>
        <v>East  44797</v>
      </c>
      <c r="O53" s="7"/>
      <c r="P53" s="7"/>
      <c r="Q53" s="7"/>
    </row>
    <row r="54" spans="1:17" ht="19.899999999999999" customHeight="1" thickBot="1" x14ac:dyDescent="0.35">
      <c r="A54" s="9">
        <f ca="1">DATE(YEAR(TODAY())-2,11,27)</f>
        <v>45623</v>
      </c>
      <c r="B54" s="9">
        <f ca="1">DATE(YEAR(TODAY())-2,12,1)</f>
        <v>45627</v>
      </c>
      <c r="C54" s="5" t="s">
        <v>20</v>
      </c>
      <c r="D54" s="5" t="s">
        <v>174</v>
      </c>
      <c r="E54" s="5" t="s">
        <v>72</v>
      </c>
      <c r="F54" s="5" t="s">
        <v>73</v>
      </c>
      <c r="G54" s="5" t="s">
        <v>37</v>
      </c>
      <c r="H54" s="5" t="s">
        <v>23</v>
      </c>
      <c r="I54" s="6">
        <v>7.16</v>
      </c>
      <c r="J54" s="7">
        <v>2</v>
      </c>
      <c r="K54" s="8">
        <v>0</v>
      </c>
      <c r="L54" s="6">
        <f t="shared" si="2"/>
        <v>14.32</v>
      </c>
      <c r="M54" s="7" t="s">
        <v>177</v>
      </c>
      <c r="N54" t="str">
        <f t="shared" ca="1" si="1"/>
        <v>East  45623</v>
      </c>
      <c r="O54" s="7"/>
      <c r="P54" s="7"/>
      <c r="Q54" s="7"/>
    </row>
    <row r="55" spans="1:17" ht="19.899999999999999" customHeight="1" thickBot="1" x14ac:dyDescent="0.35">
      <c r="A55" s="9">
        <f ca="1">DATE(YEAR(TODAY())-1,7,15)</f>
        <v>45853</v>
      </c>
      <c r="B55" s="9">
        <f ca="1">DATE(YEAR(TODAY())-1,7,17)</f>
        <v>45855</v>
      </c>
      <c r="C55" s="5" t="s">
        <v>13</v>
      </c>
      <c r="D55" s="5" t="s">
        <v>178</v>
      </c>
      <c r="E55" s="5" t="s">
        <v>85</v>
      </c>
      <c r="F55" s="5" t="s">
        <v>16</v>
      </c>
      <c r="G55" s="5" t="s">
        <v>17</v>
      </c>
      <c r="H55" s="5" t="s">
        <v>18</v>
      </c>
      <c r="I55" s="6">
        <v>71.37</v>
      </c>
      <c r="J55" s="7">
        <v>2</v>
      </c>
      <c r="K55" s="8">
        <v>0.3</v>
      </c>
      <c r="L55" s="6">
        <f t="shared" si="2"/>
        <v>99.918000000000006</v>
      </c>
      <c r="M55" s="7" t="s">
        <v>179</v>
      </c>
      <c r="N55" t="str">
        <f t="shared" ca="1" si="1"/>
        <v>Central  45853</v>
      </c>
      <c r="O55" s="7"/>
      <c r="P55" s="7"/>
      <c r="Q55" s="7"/>
    </row>
    <row r="56" spans="1:17" ht="19.899999999999999" customHeight="1" thickBot="1" x14ac:dyDescent="0.35">
      <c r="A56" s="9">
        <f ca="1">DATE(YEAR(TODAY())-1,12,21)</f>
        <v>46012</v>
      </c>
      <c r="B56" s="9">
        <f ca="1">DATE(YEAR(TODAY())-1,12,26)</f>
        <v>46017</v>
      </c>
      <c r="C56" s="5" t="s">
        <v>20</v>
      </c>
      <c r="D56" s="5" t="s">
        <v>180</v>
      </c>
      <c r="E56" s="5" t="s">
        <v>82</v>
      </c>
      <c r="F56" s="5" t="s">
        <v>69</v>
      </c>
      <c r="G56" s="5" t="s">
        <v>17</v>
      </c>
      <c r="H56" s="5" t="s">
        <v>23</v>
      </c>
      <c r="I56" s="6">
        <v>839.43</v>
      </c>
      <c r="J56" s="7">
        <v>3</v>
      </c>
      <c r="K56" s="8">
        <v>0</v>
      </c>
      <c r="L56" s="6">
        <f t="shared" si="2"/>
        <v>2518.29</v>
      </c>
      <c r="M56" s="7" t="s">
        <v>183</v>
      </c>
      <c r="N56" t="str">
        <f t="shared" ca="1" si="1"/>
        <v>Central  46012</v>
      </c>
      <c r="O56" s="7"/>
      <c r="P56" s="7"/>
      <c r="Q56" s="7"/>
    </row>
    <row r="57" spans="1:17" ht="19.899999999999999" customHeight="1" thickBot="1" x14ac:dyDescent="0.35">
      <c r="A57" s="9">
        <f ca="1">DATE(YEAR(TODAY())-3,10,9)</f>
        <v>45208</v>
      </c>
      <c r="B57" s="9">
        <f ca="1">DATE(YEAR(TODAY())-3,10,16)</f>
        <v>45215</v>
      </c>
      <c r="C57" s="5" t="s">
        <v>20</v>
      </c>
      <c r="D57" s="5" t="s">
        <v>184</v>
      </c>
      <c r="E57" s="5" t="s">
        <v>82</v>
      </c>
      <c r="F57" s="5" t="s">
        <v>69</v>
      </c>
      <c r="G57" s="5" t="s">
        <v>17</v>
      </c>
      <c r="H57" s="5" t="s">
        <v>18</v>
      </c>
      <c r="I57" s="6">
        <v>957.58</v>
      </c>
      <c r="J57" s="7">
        <v>5</v>
      </c>
      <c r="K57" s="8">
        <v>0.45</v>
      </c>
      <c r="L57" s="6">
        <f t="shared" si="2"/>
        <v>2633.3450000000007</v>
      </c>
      <c r="M57" s="7" t="s">
        <v>186</v>
      </c>
      <c r="N57" t="str">
        <f t="shared" ca="1" si="1"/>
        <v>Central  45208</v>
      </c>
      <c r="O57" s="7"/>
      <c r="P57" s="7"/>
      <c r="Q57" s="7"/>
    </row>
    <row r="58" spans="1:17" ht="19.899999999999999" customHeight="1" thickBot="1" x14ac:dyDescent="0.35">
      <c r="A58" s="9">
        <f ca="1">DATE(YEAR(TODAY())-1,4,20)</f>
        <v>45767</v>
      </c>
      <c r="B58" s="9">
        <f ca="1">DATE(YEAR(TODAY())-1,4,24)</f>
        <v>45771</v>
      </c>
      <c r="C58" s="5" t="s">
        <v>13</v>
      </c>
      <c r="D58" s="5" t="s">
        <v>187</v>
      </c>
      <c r="E58" s="5" t="s">
        <v>68</v>
      </c>
      <c r="F58" s="5" t="s">
        <v>69</v>
      </c>
      <c r="G58" s="5" t="s">
        <v>17</v>
      </c>
      <c r="H58" s="5" t="s">
        <v>23</v>
      </c>
      <c r="I58" s="6">
        <v>97.26</v>
      </c>
      <c r="J58" s="7">
        <v>4</v>
      </c>
      <c r="K58" s="8">
        <v>0.8</v>
      </c>
      <c r="L58" s="6">
        <f t="shared" si="2"/>
        <v>77.807999999999993</v>
      </c>
      <c r="M58" s="7" t="s">
        <v>188</v>
      </c>
      <c r="N58" t="str">
        <f t="shared" ca="1" si="1"/>
        <v>Central  45767</v>
      </c>
      <c r="O58" s="7"/>
      <c r="P58" s="7"/>
      <c r="Q58" s="7"/>
    </row>
    <row r="59" spans="1:17" ht="19.899999999999999" customHeight="1" thickBot="1" x14ac:dyDescent="0.35">
      <c r="A59" s="9">
        <f ca="1">DATE(YEAR(TODAY())-3,12,25)</f>
        <v>45285</v>
      </c>
      <c r="B59" s="9">
        <f ca="1">DATE(YEAR(TODAY())-3,12,29)</f>
        <v>45289</v>
      </c>
      <c r="C59" s="5" t="s">
        <v>20</v>
      </c>
      <c r="D59" s="5" t="s">
        <v>189</v>
      </c>
      <c r="E59" s="5" t="s">
        <v>31</v>
      </c>
      <c r="F59" s="5" t="s">
        <v>16</v>
      </c>
      <c r="G59" s="5" t="s">
        <v>17</v>
      </c>
      <c r="H59" s="5" t="s">
        <v>18</v>
      </c>
      <c r="I59" s="6">
        <v>532.4</v>
      </c>
      <c r="J59" s="7">
        <v>3</v>
      </c>
      <c r="K59" s="8">
        <v>0.32</v>
      </c>
      <c r="L59" s="6">
        <f t="shared" si="2"/>
        <v>1086.0959999999998</v>
      </c>
      <c r="M59" s="7" t="s">
        <v>190</v>
      </c>
      <c r="N59" t="str">
        <f t="shared" ca="1" si="1"/>
        <v>Central  45285</v>
      </c>
      <c r="O59" s="7"/>
      <c r="P59" s="7"/>
      <c r="Q59" s="7"/>
    </row>
    <row r="60" spans="1:17" ht="19.899999999999999" customHeight="1" thickBot="1" x14ac:dyDescent="0.35">
      <c r="A60" s="9">
        <f ca="1">DATE(YEAR(TODAY())-2,6,11)</f>
        <v>45454</v>
      </c>
      <c r="B60" s="9">
        <f ca="1">DATE(YEAR(TODAY())-2,6,14)</f>
        <v>45457</v>
      </c>
      <c r="C60" s="5" t="s">
        <v>39</v>
      </c>
      <c r="D60" s="5" t="s">
        <v>191</v>
      </c>
      <c r="E60" s="5" t="s">
        <v>117</v>
      </c>
      <c r="F60" s="5" t="s">
        <v>118</v>
      </c>
      <c r="G60" s="5" t="s">
        <v>28</v>
      </c>
      <c r="H60" s="5" t="s">
        <v>23</v>
      </c>
      <c r="I60" s="6">
        <v>226.56</v>
      </c>
      <c r="J60" s="7">
        <v>6</v>
      </c>
      <c r="K60" s="8">
        <v>0</v>
      </c>
      <c r="L60" s="6">
        <f t="shared" si="2"/>
        <v>1359.3600000000001</v>
      </c>
      <c r="M60" s="7" t="s">
        <v>193</v>
      </c>
      <c r="N60" t="str">
        <f t="shared" ca="1" si="1"/>
        <v>South  45454</v>
      </c>
      <c r="O60" s="7"/>
      <c r="P60" s="7"/>
      <c r="Q60" s="7"/>
    </row>
    <row r="61" spans="1:17" ht="19.899999999999999" customHeight="1" thickBot="1" x14ac:dyDescent="0.35">
      <c r="A61" s="9">
        <f ca="1">DATE(YEAR(TODAY())-2,6,11)</f>
        <v>45454</v>
      </c>
      <c r="B61" s="9">
        <f ca="1">DATE(YEAR(TODAY())-2,6,14)</f>
        <v>45457</v>
      </c>
      <c r="C61" s="5" t="s">
        <v>39</v>
      </c>
      <c r="D61" s="5" t="s">
        <v>205</v>
      </c>
      <c r="E61" s="5" t="s">
        <v>197</v>
      </c>
      <c r="F61" s="5" t="s">
        <v>54</v>
      </c>
      <c r="G61" s="5" t="s">
        <v>37</v>
      </c>
      <c r="H61" s="5" t="s">
        <v>23</v>
      </c>
      <c r="I61" s="6">
        <v>208.16</v>
      </c>
      <c r="J61" s="7">
        <v>1</v>
      </c>
      <c r="K61" s="8">
        <v>0</v>
      </c>
      <c r="L61" s="6">
        <f t="shared" si="2"/>
        <v>208.16</v>
      </c>
      <c r="M61" s="7" t="s">
        <v>195</v>
      </c>
      <c r="N61" t="str">
        <f t="shared" ca="1" si="1"/>
        <v>East  45454</v>
      </c>
      <c r="O61" s="7"/>
      <c r="P61" s="7"/>
      <c r="Q61" s="7"/>
    </row>
    <row r="62" spans="1:17" ht="19.899999999999999" customHeight="1" thickBot="1" x14ac:dyDescent="0.35">
      <c r="A62" s="9">
        <f ca="1">DATE(YEAR(TODAY())-2,6,16)</f>
        <v>45459</v>
      </c>
      <c r="B62" s="9">
        <f ca="1">DATE(YEAR(TODAY())-2,6,17)</f>
        <v>45460</v>
      </c>
      <c r="C62" s="5" t="s">
        <v>39</v>
      </c>
      <c r="D62" s="5" t="s">
        <v>196</v>
      </c>
      <c r="E62" s="5" t="s">
        <v>49</v>
      </c>
      <c r="F62" s="5" t="s">
        <v>50</v>
      </c>
      <c r="G62" s="5" t="s">
        <v>17</v>
      </c>
      <c r="H62" s="5" t="s">
        <v>18</v>
      </c>
      <c r="I62" s="6">
        <v>319.41000000000003</v>
      </c>
      <c r="J62" s="7">
        <v>5</v>
      </c>
      <c r="K62" s="8">
        <v>0.1</v>
      </c>
      <c r="L62" s="6">
        <f t="shared" si="2"/>
        <v>1437.3450000000003</v>
      </c>
      <c r="M62" s="7" t="s">
        <v>198</v>
      </c>
      <c r="N62" t="str">
        <f t="shared" ca="1" si="1"/>
        <v>Central  45459</v>
      </c>
      <c r="O62" s="7"/>
      <c r="P62" s="7"/>
      <c r="Q62" s="7"/>
    </row>
    <row r="63" spans="1:17" ht="19.899999999999999" customHeight="1" thickBot="1" x14ac:dyDescent="0.35">
      <c r="A63" s="9">
        <f ca="1">DATE(YEAR(TODAY())-3,9,15)</f>
        <v>45184</v>
      </c>
      <c r="B63" s="9">
        <f ca="1">DATE(YEAR(TODAY())-3,9,19)</f>
        <v>45188</v>
      </c>
      <c r="C63" s="5" t="s">
        <v>20</v>
      </c>
      <c r="D63" s="5" t="s">
        <v>199</v>
      </c>
      <c r="E63" s="5" t="s">
        <v>202</v>
      </c>
      <c r="F63" s="5" t="s">
        <v>203</v>
      </c>
      <c r="G63" s="5" t="s">
        <v>37</v>
      </c>
      <c r="H63" s="5" t="s">
        <v>18</v>
      </c>
      <c r="I63" s="6">
        <v>3083.43</v>
      </c>
      <c r="J63" s="7">
        <v>7</v>
      </c>
      <c r="K63" s="8">
        <v>0.5</v>
      </c>
      <c r="L63" s="6">
        <f t="shared" si="2"/>
        <v>10792.004999999999</v>
      </c>
      <c r="M63" s="7" t="s">
        <v>200</v>
      </c>
      <c r="N63" t="str">
        <f t="shared" ca="1" si="1"/>
        <v>East  45184</v>
      </c>
      <c r="O63" s="7"/>
      <c r="P63" s="7"/>
      <c r="Q63" s="7"/>
    </row>
    <row r="64" spans="1:17" ht="19.899999999999999" customHeight="1" thickBot="1" x14ac:dyDescent="0.35">
      <c r="A64" s="9">
        <f ca="1">DATE(YEAR(TODAY())-1,11,5)</f>
        <v>45966</v>
      </c>
      <c r="B64" s="9">
        <f ca="1">DATE(YEAR(TODAY())-1,11,12)</f>
        <v>45973</v>
      </c>
      <c r="C64" s="5" t="s">
        <v>20</v>
      </c>
      <c r="D64" s="5" t="s">
        <v>201</v>
      </c>
      <c r="E64" s="5" t="s">
        <v>192</v>
      </c>
      <c r="F64" s="5" t="s">
        <v>131</v>
      </c>
      <c r="G64" s="5" t="s">
        <v>37</v>
      </c>
      <c r="H64" s="5" t="s">
        <v>23</v>
      </c>
      <c r="I64" s="6">
        <v>46.26</v>
      </c>
      <c r="J64" s="7">
        <v>3</v>
      </c>
      <c r="K64" s="8">
        <v>0</v>
      </c>
      <c r="L64" s="6">
        <f t="shared" si="2"/>
        <v>138.78</v>
      </c>
      <c r="M64" s="7" t="s">
        <v>204</v>
      </c>
      <c r="N64" t="str">
        <f t="shared" ca="1" si="1"/>
        <v>East  45966</v>
      </c>
      <c r="O64" s="7"/>
    </row>
  </sheetData>
  <sortState xmlns:xlrd2="http://schemas.microsoft.com/office/spreadsheetml/2017/richdata2" ref="E4:G63">
    <sortCondition ref="E3"/>
  </sortState>
  <conditionalFormatting sqref="H7">
    <cfRule type="expression" dxfId="5" priority="6">
      <formula>$H7="Technology"</formula>
    </cfRule>
  </conditionalFormatting>
  <conditionalFormatting sqref="H8:H64">
    <cfRule type="expression" dxfId="4" priority="4">
      <formula>$H8="Technology"</formula>
    </cfRule>
  </conditionalFormatting>
  <conditionalFormatting sqref="L4:L64">
    <cfRule type="top10" dxfId="3" priority="1" percent="1" rank="10"/>
  </conditionalFormatting>
  <dataValidations count="1">
    <dataValidation type="list" allowBlank="1" showInputMessage="1" showErrorMessage="1" sqref="P4" xr:uid="{63A2322D-1517-4932-BE0A-82266ACC908A}">
      <formula1>NEW_CUSTOMRER_NAME</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3" id="{656372D5-618B-4818-BDB6-FD5E9F587EDB}">
            <x14:iconSet custom="1">
              <x14:cfvo type="percent">
                <xm:f>0</xm:f>
              </x14:cfvo>
              <x14:cfvo type="num">
                <xm:f>5</xm:f>
              </x14:cfvo>
              <x14:cfvo type="num">
                <xm:f>5</xm:f>
              </x14:cfvo>
              <x14:cfIcon iconSet="NoIcons" iconId="0"/>
              <x14:cfIcon iconSet="NoIcons" iconId="0"/>
              <x14:cfIcon iconSet="3Symbols2" iconId="2"/>
            </x14:iconSet>
          </x14:cfRule>
          <xm:sqref>J4:J64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48B10-D573-4B2B-A804-D42DAA4CBB0C}">
  <sheetPr>
    <tabColor theme="3" tint="0.39997558519241921"/>
  </sheetPr>
  <dimension ref="A1:R64"/>
  <sheetViews>
    <sheetView showGridLines="0" topLeftCell="G1" workbookViewId="0">
      <selection activeCell="Q4" sqref="Q4"/>
    </sheetView>
  </sheetViews>
  <sheetFormatPr defaultRowHeight="14" x14ac:dyDescent="0.3"/>
  <cols>
    <col min="1" max="2" width="9.33203125" bestFit="1" customWidth="1"/>
    <col min="3" max="3" width="9.08203125" bestFit="1" customWidth="1"/>
    <col min="4" max="4" width="17.25" bestFit="1" customWidth="1"/>
    <col min="5" max="5" width="13.08203125" bestFit="1" customWidth="1"/>
    <col min="6" max="6" width="12.08203125" bestFit="1" customWidth="1"/>
    <col min="7" max="7" width="6.5" bestFit="1" customWidth="1"/>
    <col min="8" max="8" width="12.58203125" bestFit="1" customWidth="1"/>
    <col min="9" max="9" width="16.25" bestFit="1" customWidth="1"/>
    <col min="10" max="10" width="11.25" bestFit="1" customWidth="1"/>
    <col min="11" max="11" width="14.08203125" bestFit="1" customWidth="1"/>
    <col min="12" max="12" width="9.5" bestFit="1" customWidth="1"/>
    <col min="13" max="13" width="12.08203125" bestFit="1" customWidth="1"/>
    <col min="14" max="14" width="16.83203125" bestFit="1" customWidth="1"/>
    <col min="16" max="16" width="13" customWidth="1"/>
    <col min="17" max="17" width="18.83203125" customWidth="1"/>
    <col min="18" max="18" width="12.75" customWidth="1"/>
  </cols>
  <sheetData>
    <row r="1" spans="1:18" ht="30" customHeight="1" x14ac:dyDescent="0.3">
      <c r="A1" s="24" t="s">
        <v>213</v>
      </c>
      <c r="B1" s="25"/>
      <c r="C1" s="25"/>
      <c r="D1" s="25"/>
      <c r="E1" s="25"/>
      <c r="F1" s="25"/>
      <c r="G1" s="25"/>
      <c r="H1" s="25"/>
      <c r="I1" s="25"/>
      <c r="J1" s="25"/>
      <c r="K1" s="25"/>
      <c r="L1" s="25"/>
      <c r="M1" s="25"/>
      <c r="N1" s="25"/>
    </row>
    <row r="2" spans="1:18" ht="18.75" customHeight="1" x14ac:dyDescent="0.3">
      <c r="A2" s="25"/>
      <c r="B2" s="25"/>
      <c r="C2" s="25"/>
      <c r="D2" s="25"/>
      <c r="E2" s="25"/>
      <c r="F2" s="25"/>
      <c r="G2" s="25"/>
      <c r="H2" s="25"/>
      <c r="I2" s="25"/>
      <c r="J2" s="25"/>
      <c r="K2" s="37">
        <f>SUM(J4:J64)</f>
        <v>247</v>
      </c>
      <c r="L2" s="37"/>
      <c r="M2" s="38">
        <f>SUM(L4:L64)</f>
        <v>111049.66700000006</v>
      </c>
      <c r="N2" s="39"/>
    </row>
    <row r="3" spans="1:18" ht="18.75" customHeight="1" thickBot="1" x14ac:dyDescent="0.35">
      <c r="A3" s="19" t="s">
        <v>0</v>
      </c>
      <c r="B3" s="19" t="s">
        <v>1</v>
      </c>
      <c r="C3" s="19" t="s">
        <v>2</v>
      </c>
      <c r="D3" s="19" t="s">
        <v>3</v>
      </c>
      <c r="E3" s="19" t="s">
        <v>4</v>
      </c>
      <c r="F3" s="19" t="s">
        <v>5</v>
      </c>
      <c r="G3" s="19" t="s">
        <v>6</v>
      </c>
      <c r="H3" s="19" t="s">
        <v>7</v>
      </c>
      <c r="I3" s="20" t="s">
        <v>8</v>
      </c>
      <c r="J3" s="21" t="s">
        <v>9</v>
      </c>
      <c r="K3" s="22" t="s">
        <v>10</v>
      </c>
      <c r="L3" s="21" t="s">
        <v>11</v>
      </c>
      <c r="M3" s="21" t="s">
        <v>12</v>
      </c>
      <c r="N3" s="23" t="s">
        <v>212</v>
      </c>
      <c r="P3" s="26" t="s">
        <v>211</v>
      </c>
      <c r="Q3" s="26"/>
      <c r="R3" s="26" t="s">
        <v>211</v>
      </c>
    </row>
    <row r="4" spans="1:18" ht="15" thickBot="1" x14ac:dyDescent="0.35">
      <c r="A4" s="9">
        <f ca="1">DATE(YEAR(TODAY())-4,12,25)</f>
        <v>44920</v>
      </c>
      <c r="B4" s="9">
        <f ca="1">DATE(YEAR(TODAY())-4,12,27)</f>
        <v>44922</v>
      </c>
      <c r="C4" s="5" t="s">
        <v>13</v>
      </c>
      <c r="D4" s="5" t="s">
        <v>14</v>
      </c>
      <c r="E4" s="5" t="s">
        <v>164</v>
      </c>
      <c r="F4" s="5" t="s">
        <v>42</v>
      </c>
      <c r="G4" s="5" t="s">
        <v>17</v>
      </c>
      <c r="H4" s="5" t="s">
        <v>18</v>
      </c>
      <c r="I4" s="6">
        <v>600.55999999999995</v>
      </c>
      <c r="J4" s="7">
        <v>3</v>
      </c>
      <c r="K4" s="8">
        <v>0.3</v>
      </c>
      <c r="L4" s="6">
        <f t="shared" ref="L4:L35" si="0">I4*J4*(1-K4)</f>
        <v>1261.1759999999997</v>
      </c>
      <c r="M4" s="7" t="s">
        <v>19</v>
      </c>
      <c r="N4" s="5" t="str">
        <f ca="1">G4&amp;"  "&amp; A4</f>
        <v>Central  44920</v>
      </c>
      <c r="P4" s="27" t="str">
        <f>LOOKUP(Q4,NEW_CUSTOMRER_NAME,NEW_CITY)</f>
        <v>San Antonio</v>
      </c>
      <c r="Q4" s="27" t="s">
        <v>189</v>
      </c>
      <c r="R4" s="28" t="str">
        <f>IF(P4="San Antonio","Agric Bustop")</f>
        <v>Agric Bustop</v>
      </c>
    </row>
    <row r="5" spans="1:18" ht="15" thickBot="1" x14ac:dyDescent="0.35">
      <c r="A5" s="9">
        <f ca="1">DATE(YEAR(TODAY())-2,7,15)</f>
        <v>45488</v>
      </c>
      <c r="B5" s="9">
        <f ca="1">DATE(YEAR(TODAY())-2,7,21)</f>
        <v>45494</v>
      </c>
      <c r="C5" s="5" t="s">
        <v>20</v>
      </c>
      <c r="D5" s="5" t="s">
        <v>21</v>
      </c>
      <c r="E5" s="5" t="s">
        <v>87</v>
      </c>
      <c r="F5" s="5" t="s">
        <v>88</v>
      </c>
      <c r="G5" s="5" t="s">
        <v>28</v>
      </c>
      <c r="H5" s="5" t="s">
        <v>23</v>
      </c>
      <c r="I5" s="6">
        <v>37.22</v>
      </c>
      <c r="J5" s="7">
        <v>3</v>
      </c>
      <c r="K5" s="8">
        <v>0.2</v>
      </c>
      <c r="L5" s="6">
        <f t="shared" si="0"/>
        <v>89.328000000000003</v>
      </c>
      <c r="M5" s="7" t="s">
        <v>24</v>
      </c>
      <c r="N5" s="5" t="str">
        <f ca="1">G5&amp;"  "&amp; A5</f>
        <v>South  45488</v>
      </c>
    </row>
    <row r="6" spans="1:18" ht="15" thickBot="1" x14ac:dyDescent="0.35">
      <c r="A6" s="9">
        <f ca="1">DATE(YEAR(TODAY())-1,4,14)</f>
        <v>45761</v>
      </c>
      <c r="B6" s="9">
        <f ca="1">DATE(YEAR(TODAY())-1,4,19)</f>
        <v>45766</v>
      </c>
      <c r="C6" s="5" t="s">
        <v>20</v>
      </c>
      <c r="D6" s="5" t="s">
        <v>25</v>
      </c>
      <c r="E6" s="5" t="s">
        <v>96</v>
      </c>
      <c r="F6" s="5" t="s">
        <v>27</v>
      </c>
      <c r="G6" s="5" t="s">
        <v>28</v>
      </c>
      <c r="H6" s="5" t="s">
        <v>23</v>
      </c>
      <c r="I6" s="6">
        <v>15.55</v>
      </c>
      <c r="J6" s="7">
        <v>3</v>
      </c>
      <c r="K6" s="8">
        <v>0.2</v>
      </c>
      <c r="L6" s="6">
        <f t="shared" si="0"/>
        <v>37.320000000000007</v>
      </c>
      <c r="M6" s="7" t="s">
        <v>29</v>
      </c>
      <c r="N6" s="5" t="str">
        <f t="shared" ref="N6:N64" ca="1" si="1">G6&amp;"  "&amp; A6</f>
        <v>South  45761</v>
      </c>
    </row>
    <row r="7" spans="1:18" ht="15" thickBot="1" x14ac:dyDescent="0.35">
      <c r="A7" s="9">
        <f ca="1">DATE(YEAR(TODAY())-4,9,7)</f>
        <v>44811</v>
      </c>
      <c r="B7" s="9">
        <f ca="1">DATE(YEAR(TODAY())-4,9,11)</f>
        <v>44815</v>
      </c>
      <c r="C7" s="5" t="s">
        <v>20</v>
      </c>
      <c r="D7" s="5" t="s">
        <v>30</v>
      </c>
      <c r="E7" s="5" t="s">
        <v>41</v>
      </c>
      <c r="F7" s="5" t="s">
        <v>42</v>
      </c>
      <c r="G7" s="5" t="s">
        <v>17</v>
      </c>
      <c r="H7" s="5" t="s">
        <v>32</v>
      </c>
      <c r="I7" s="6">
        <v>8159.95</v>
      </c>
      <c r="J7" s="7">
        <v>8</v>
      </c>
      <c r="K7" s="8">
        <v>0.4</v>
      </c>
      <c r="L7" s="6">
        <f t="shared" si="0"/>
        <v>39167.759999999995</v>
      </c>
      <c r="M7" s="7" t="s">
        <v>33</v>
      </c>
      <c r="N7" s="5" t="str">
        <f t="shared" ca="1" si="1"/>
        <v>Central  44811</v>
      </c>
    </row>
    <row r="8" spans="1:18" ht="15" thickBot="1" x14ac:dyDescent="0.35">
      <c r="A8" s="9">
        <f ca="1">DATE(YEAR(TODAY())-4,3,20)</f>
        <v>44640</v>
      </c>
      <c r="B8" s="9">
        <f ca="1">DATE(YEAR(TODAY())-4,3,24)</f>
        <v>44644</v>
      </c>
      <c r="C8" s="5" t="s">
        <v>20</v>
      </c>
      <c r="D8" s="5" t="s">
        <v>34</v>
      </c>
      <c r="E8" s="5" t="s">
        <v>41</v>
      </c>
      <c r="F8" s="5" t="s">
        <v>42</v>
      </c>
      <c r="G8" s="5" t="s">
        <v>17</v>
      </c>
      <c r="H8" s="5" t="s">
        <v>23</v>
      </c>
      <c r="I8" s="6">
        <v>7.41</v>
      </c>
      <c r="J8" s="7">
        <v>2</v>
      </c>
      <c r="K8" s="8">
        <v>0.2</v>
      </c>
      <c r="L8" s="6">
        <f t="shared" si="0"/>
        <v>11.856000000000002</v>
      </c>
      <c r="M8" s="7" t="s">
        <v>38</v>
      </c>
      <c r="N8" s="5" t="str">
        <f t="shared" ca="1" si="1"/>
        <v>Central  44640</v>
      </c>
    </row>
    <row r="9" spans="1:18" ht="15" thickBot="1" x14ac:dyDescent="0.35">
      <c r="A9" s="9">
        <f ca="1">DATE(YEAR(TODAY())-1,11,12)</f>
        <v>45973</v>
      </c>
      <c r="B9" s="9">
        <f ca="1">DATE(YEAR(TODAY())-1,11,15)</f>
        <v>45976</v>
      </c>
      <c r="C9" s="5" t="s">
        <v>39</v>
      </c>
      <c r="D9" s="5" t="s">
        <v>40</v>
      </c>
      <c r="E9" s="5" t="s">
        <v>41</v>
      </c>
      <c r="F9" s="5" t="s">
        <v>42</v>
      </c>
      <c r="G9" s="5" t="s">
        <v>17</v>
      </c>
      <c r="H9" s="5" t="s">
        <v>23</v>
      </c>
      <c r="I9" s="6">
        <v>230.38</v>
      </c>
      <c r="J9" s="7">
        <v>3</v>
      </c>
      <c r="K9" s="8">
        <v>0.2</v>
      </c>
      <c r="L9" s="6">
        <f t="shared" si="0"/>
        <v>552.91200000000003</v>
      </c>
      <c r="M9" s="7" t="s">
        <v>43</v>
      </c>
      <c r="N9" s="5" t="str">
        <f t="shared" ca="1" si="1"/>
        <v>Central  45973</v>
      </c>
    </row>
    <row r="10" spans="1:18" ht="15" thickBot="1" x14ac:dyDescent="0.35">
      <c r="A10" s="9">
        <f ca="1">DATE(YEAR(TODAY())-2,11,7)</f>
        <v>45603</v>
      </c>
      <c r="B10" s="9">
        <f ca="1">DATE(YEAR(TODAY())-2,11,10)</f>
        <v>45606</v>
      </c>
      <c r="C10" s="5" t="s">
        <v>13</v>
      </c>
      <c r="D10" s="5" t="s">
        <v>44</v>
      </c>
      <c r="E10" s="5" t="s">
        <v>41</v>
      </c>
      <c r="F10" s="5" t="s">
        <v>42</v>
      </c>
      <c r="G10" s="5" t="s">
        <v>17</v>
      </c>
      <c r="H10" s="5" t="s">
        <v>18</v>
      </c>
      <c r="I10" s="6">
        <v>731.94</v>
      </c>
      <c r="J10" s="7">
        <v>3</v>
      </c>
      <c r="K10" s="8">
        <v>0</v>
      </c>
      <c r="L10" s="6">
        <f t="shared" si="0"/>
        <v>2195.8200000000002</v>
      </c>
      <c r="M10" s="7" t="s">
        <v>47</v>
      </c>
      <c r="N10" s="5" t="str">
        <f t="shared" ca="1" si="1"/>
        <v>Central  45603</v>
      </c>
    </row>
    <row r="11" spans="1:18" ht="15" thickBot="1" x14ac:dyDescent="0.35">
      <c r="A11" s="9">
        <f ca="1">DATE(YEAR(TODAY())-2,11,2)</f>
        <v>45598</v>
      </c>
      <c r="B11" s="9">
        <f ca="1">DATE(YEAR(TODAY())-2,11,9)</f>
        <v>45605</v>
      </c>
      <c r="C11" s="5" t="s">
        <v>20</v>
      </c>
      <c r="D11" s="5" t="s">
        <v>48</v>
      </c>
      <c r="E11" s="5" t="s">
        <v>152</v>
      </c>
      <c r="F11" s="5" t="s">
        <v>153</v>
      </c>
      <c r="G11" s="5" t="s">
        <v>28</v>
      </c>
      <c r="H11" s="5" t="s">
        <v>23</v>
      </c>
      <c r="I11" s="6">
        <v>27.24</v>
      </c>
      <c r="J11" s="7">
        <v>6</v>
      </c>
      <c r="K11" s="8">
        <v>0</v>
      </c>
      <c r="L11" s="6">
        <f t="shared" si="0"/>
        <v>163.44</v>
      </c>
      <c r="M11" s="7" t="s">
        <v>51</v>
      </c>
      <c r="N11" s="5" t="str">
        <f t="shared" ca="1" si="1"/>
        <v>South  45598</v>
      </c>
    </row>
    <row r="12" spans="1:18" ht="15" thickBot="1" x14ac:dyDescent="0.35">
      <c r="A12" s="9">
        <f ca="1">DATE(YEAR(TODAY())-1,12,24)</f>
        <v>46015</v>
      </c>
      <c r="B12" s="9">
        <f ca="1">DATE(YEAR(TODAY())-1,12,29)</f>
        <v>46020</v>
      </c>
      <c r="C12" s="5" t="s">
        <v>20</v>
      </c>
      <c r="D12" s="5" t="s">
        <v>52</v>
      </c>
      <c r="E12" s="5" t="s">
        <v>65</v>
      </c>
      <c r="F12" s="5" t="s">
        <v>36</v>
      </c>
      <c r="G12" s="5" t="s">
        <v>37</v>
      </c>
      <c r="H12" s="5" t="s">
        <v>18</v>
      </c>
      <c r="I12" s="6">
        <v>41.96</v>
      </c>
      <c r="J12" s="7">
        <v>2</v>
      </c>
      <c r="K12" s="8">
        <v>0</v>
      </c>
      <c r="L12" s="6">
        <f t="shared" si="0"/>
        <v>83.92</v>
      </c>
      <c r="M12" s="7" t="s">
        <v>55</v>
      </c>
      <c r="N12" s="5" t="str">
        <f t="shared" ca="1" si="1"/>
        <v>East  46015</v>
      </c>
    </row>
    <row r="13" spans="1:18" ht="15" thickBot="1" x14ac:dyDescent="0.35">
      <c r="A13" s="9">
        <f ca="1">DATE(YEAR(TODAY())-3,4,16)</f>
        <v>45032</v>
      </c>
      <c r="B13" s="9">
        <f ca="1">DATE(YEAR(TODAY())-3,4,20)</f>
        <v>45036</v>
      </c>
      <c r="C13" s="5" t="s">
        <v>20</v>
      </c>
      <c r="D13" s="5" t="s">
        <v>56</v>
      </c>
      <c r="E13" s="5" t="s">
        <v>65</v>
      </c>
      <c r="F13" s="5" t="s">
        <v>36</v>
      </c>
      <c r="G13" s="5" t="s">
        <v>37</v>
      </c>
      <c r="H13" s="5" t="s">
        <v>18</v>
      </c>
      <c r="I13" s="6">
        <v>89.99</v>
      </c>
      <c r="J13" s="7">
        <v>1</v>
      </c>
      <c r="K13" s="8">
        <v>0</v>
      </c>
      <c r="L13" s="6">
        <f t="shared" si="0"/>
        <v>89.99</v>
      </c>
      <c r="M13" s="7" t="s">
        <v>59</v>
      </c>
      <c r="N13" s="5" t="str">
        <f t="shared" ca="1" si="1"/>
        <v>East  45032</v>
      </c>
    </row>
    <row r="14" spans="1:18" ht="15" thickBot="1" x14ac:dyDescent="0.35">
      <c r="A14" s="9">
        <f ca="1">DATE(YEAR(TODAY())-4,12,4)</f>
        <v>44899</v>
      </c>
      <c r="B14" s="9">
        <f ca="1">DATE(YEAR(TODAY())-4,12,8)</f>
        <v>44903</v>
      </c>
      <c r="C14" s="5" t="s">
        <v>13</v>
      </c>
      <c r="D14" s="5" t="s">
        <v>61</v>
      </c>
      <c r="E14" s="5" t="s">
        <v>26</v>
      </c>
      <c r="F14" s="5" t="s">
        <v>27</v>
      </c>
      <c r="G14" s="5" t="s">
        <v>28</v>
      </c>
      <c r="H14" s="5" t="s">
        <v>32</v>
      </c>
      <c r="I14" s="6">
        <v>408.74</v>
      </c>
      <c r="J14" s="7">
        <v>7</v>
      </c>
      <c r="K14" s="8">
        <v>0.2</v>
      </c>
      <c r="L14" s="6">
        <f t="shared" si="0"/>
        <v>2288.9440000000004</v>
      </c>
      <c r="M14" s="7" t="s">
        <v>63</v>
      </c>
      <c r="N14" s="5" t="str">
        <f t="shared" ca="1" si="1"/>
        <v>South  44899</v>
      </c>
    </row>
    <row r="15" spans="1:18" ht="15" thickBot="1" x14ac:dyDescent="0.35">
      <c r="A15" s="9">
        <f ca="1">DATE(YEAR(TODAY())-1,2,1)</f>
        <v>45689</v>
      </c>
      <c r="B15" s="9">
        <f ca="1">DATE(YEAR(TODAY())-1,2,4)</f>
        <v>45692</v>
      </c>
      <c r="C15" s="5" t="s">
        <v>39</v>
      </c>
      <c r="D15" s="5" t="s">
        <v>64</v>
      </c>
      <c r="E15" s="5" t="s">
        <v>62</v>
      </c>
      <c r="F15" s="5" t="s">
        <v>42</v>
      </c>
      <c r="G15" s="5" t="s">
        <v>17</v>
      </c>
      <c r="H15" s="5" t="s">
        <v>23</v>
      </c>
      <c r="I15" s="6">
        <v>78.3</v>
      </c>
      <c r="J15" s="7">
        <v>2</v>
      </c>
      <c r="K15" s="8">
        <v>0.2</v>
      </c>
      <c r="L15" s="6">
        <f t="shared" si="0"/>
        <v>125.28</v>
      </c>
      <c r="M15" s="7" t="s">
        <v>66</v>
      </c>
      <c r="N15" s="5" t="str">
        <f t="shared" ca="1" si="1"/>
        <v>Central  45689</v>
      </c>
    </row>
    <row r="16" spans="1:18" ht="15" thickBot="1" x14ac:dyDescent="0.35">
      <c r="A16" s="9">
        <f ca="1">DATE(YEAR(TODAY())-2,9,5)</f>
        <v>45540</v>
      </c>
      <c r="B16" s="9">
        <f ca="1">DATE(YEAR(TODAY())-2,9,10)</f>
        <v>45545</v>
      </c>
      <c r="C16" s="5" t="s">
        <v>20</v>
      </c>
      <c r="D16" s="5" t="s">
        <v>67</v>
      </c>
      <c r="E16" s="5" t="s">
        <v>62</v>
      </c>
      <c r="F16" s="5" t="s">
        <v>194</v>
      </c>
      <c r="G16" s="5" t="s">
        <v>28</v>
      </c>
      <c r="H16" s="5" t="s">
        <v>23</v>
      </c>
      <c r="I16" s="6">
        <v>77.88</v>
      </c>
      <c r="J16" s="7">
        <v>6</v>
      </c>
      <c r="K16" s="8">
        <v>0</v>
      </c>
      <c r="L16" s="6">
        <f t="shared" si="0"/>
        <v>467.28</v>
      </c>
      <c r="M16" s="7" t="s">
        <v>70</v>
      </c>
      <c r="N16" s="5" t="str">
        <f t="shared" ca="1" si="1"/>
        <v>South  45540</v>
      </c>
    </row>
    <row r="17" spans="1:14" ht="15" thickBot="1" x14ac:dyDescent="0.35">
      <c r="A17" s="9">
        <f ca="1">DATE(YEAR(TODAY())-3,12,26)</f>
        <v>45286</v>
      </c>
      <c r="B17" s="9">
        <f ca="1">DATE(YEAR(TODAY())-3,12,29)</f>
        <v>45289</v>
      </c>
      <c r="C17" s="5" t="s">
        <v>13</v>
      </c>
      <c r="D17" s="5" t="s">
        <v>71</v>
      </c>
      <c r="E17" s="5" t="s">
        <v>130</v>
      </c>
      <c r="F17" s="5" t="s">
        <v>131</v>
      </c>
      <c r="G17" s="5" t="s">
        <v>37</v>
      </c>
      <c r="H17" s="5" t="s">
        <v>32</v>
      </c>
      <c r="I17" s="6">
        <v>54.38</v>
      </c>
      <c r="J17" s="7">
        <v>2</v>
      </c>
      <c r="K17" s="8">
        <v>0.2</v>
      </c>
      <c r="L17" s="6">
        <f t="shared" si="0"/>
        <v>87.00800000000001</v>
      </c>
      <c r="M17" s="7" t="s">
        <v>74</v>
      </c>
      <c r="N17" s="5" t="str">
        <f t="shared" ca="1" si="1"/>
        <v>East  45286</v>
      </c>
    </row>
    <row r="18" spans="1:14" ht="15" thickBot="1" x14ac:dyDescent="0.35">
      <c r="A18" s="9">
        <f ca="1">DATE(YEAR(TODAY())-1,9,18)</f>
        <v>45918</v>
      </c>
      <c r="B18" s="9">
        <f ca="1">DATE(YEAR(TODAY())-1,9,22)</f>
        <v>45922</v>
      </c>
      <c r="C18" s="5" t="s">
        <v>20</v>
      </c>
      <c r="D18" s="5" t="s">
        <v>75</v>
      </c>
      <c r="E18" s="5" t="s">
        <v>110</v>
      </c>
      <c r="F18" s="5" t="s">
        <v>27</v>
      </c>
      <c r="G18" s="5" t="s">
        <v>28</v>
      </c>
      <c r="H18" s="5" t="s">
        <v>23</v>
      </c>
      <c r="I18" s="6">
        <v>95.62</v>
      </c>
      <c r="J18" s="7">
        <v>2</v>
      </c>
      <c r="K18" s="8">
        <v>0.2</v>
      </c>
      <c r="L18" s="6">
        <f t="shared" si="0"/>
        <v>152.99200000000002</v>
      </c>
      <c r="M18" s="7" t="s">
        <v>78</v>
      </c>
      <c r="N18" s="5" t="str">
        <f t="shared" ca="1" si="1"/>
        <v>South  45918</v>
      </c>
    </row>
    <row r="19" spans="1:14" ht="15" thickBot="1" x14ac:dyDescent="0.35">
      <c r="A19" s="9">
        <f ca="1">DATE(YEAR(TODAY())-2,4,4)</f>
        <v>45386</v>
      </c>
      <c r="B19" s="9">
        <f ca="1">DATE(YEAR(TODAY())-2,4,9)</f>
        <v>45391</v>
      </c>
      <c r="C19" s="5" t="s">
        <v>13</v>
      </c>
      <c r="D19" s="5" t="s">
        <v>79</v>
      </c>
      <c r="E19" s="5" t="s">
        <v>147</v>
      </c>
      <c r="F19" s="5" t="s">
        <v>69</v>
      </c>
      <c r="G19" s="5" t="s">
        <v>17</v>
      </c>
      <c r="H19" s="5" t="s">
        <v>23</v>
      </c>
      <c r="I19" s="6">
        <v>158.37</v>
      </c>
      <c r="J19" s="7">
        <v>7</v>
      </c>
      <c r="K19" s="8">
        <v>0.2</v>
      </c>
      <c r="L19" s="6">
        <f t="shared" si="0"/>
        <v>886.87200000000018</v>
      </c>
      <c r="M19" s="7" t="s">
        <v>80</v>
      </c>
      <c r="N19" s="5" t="str">
        <f t="shared" ca="1" si="1"/>
        <v>Central  45386</v>
      </c>
    </row>
    <row r="20" spans="1:14" ht="15" thickBot="1" x14ac:dyDescent="0.35">
      <c r="A20" s="9">
        <f ca="1">DATE(YEAR(TODAY())-2,11,30)</f>
        <v>45626</v>
      </c>
      <c r="B20" s="9">
        <f ca="1">DATE(YEAR(TODAY())-2,12,3)</f>
        <v>45629</v>
      </c>
      <c r="C20" s="5" t="s">
        <v>13</v>
      </c>
      <c r="D20" s="5" t="s">
        <v>81</v>
      </c>
      <c r="E20" s="5" t="s">
        <v>143</v>
      </c>
      <c r="F20" s="5" t="s">
        <v>144</v>
      </c>
      <c r="G20" s="5" t="s">
        <v>17</v>
      </c>
      <c r="H20" s="5" t="s">
        <v>23</v>
      </c>
      <c r="I20" s="6">
        <v>23.92</v>
      </c>
      <c r="J20" s="7">
        <v>4</v>
      </c>
      <c r="K20" s="8">
        <v>0</v>
      </c>
      <c r="L20" s="6">
        <f t="shared" si="0"/>
        <v>95.68</v>
      </c>
      <c r="M20" s="7" t="s">
        <v>83</v>
      </c>
      <c r="N20" s="5" t="str">
        <f t="shared" ca="1" si="1"/>
        <v>Central  45626</v>
      </c>
    </row>
    <row r="21" spans="1:14" ht="15" thickBot="1" x14ac:dyDescent="0.35">
      <c r="A21" s="9">
        <f ca="1">DATE(YEAR(TODAY())-2,12,7)</f>
        <v>45633</v>
      </c>
      <c r="B21" s="9">
        <f ca="1">DATE(YEAR(TODAY())-2,12,9)</f>
        <v>45635</v>
      </c>
      <c r="C21" s="5" t="s">
        <v>39</v>
      </c>
      <c r="D21" s="5" t="s">
        <v>84</v>
      </c>
      <c r="E21" s="5" t="s">
        <v>175</v>
      </c>
      <c r="F21" s="5" t="s">
        <v>176</v>
      </c>
      <c r="G21" s="5" t="s">
        <v>37</v>
      </c>
      <c r="H21" s="5" t="s">
        <v>32</v>
      </c>
      <c r="I21" s="6">
        <v>1097.54</v>
      </c>
      <c r="J21" s="7">
        <v>7</v>
      </c>
      <c r="K21" s="8">
        <v>0.2</v>
      </c>
      <c r="L21" s="6">
        <f t="shared" si="0"/>
        <v>6146.2240000000002</v>
      </c>
      <c r="M21" s="7" t="s">
        <v>60</v>
      </c>
      <c r="N21" s="5" t="str">
        <f t="shared" ca="1" si="1"/>
        <v>East  45633</v>
      </c>
    </row>
    <row r="22" spans="1:14" ht="15" thickBot="1" x14ac:dyDescent="0.35">
      <c r="A22" s="9">
        <f ca="1">DATE(YEAR(TODAY())-3,4,3)</f>
        <v>45019</v>
      </c>
      <c r="B22" s="9">
        <f ca="1">DATE(YEAR(TODAY())-3,4,8)</f>
        <v>45024</v>
      </c>
      <c r="C22" s="5" t="s">
        <v>20</v>
      </c>
      <c r="D22" s="5" t="s">
        <v>86</v>
      </c>
      <c r="E22" s="5" t="s">
        <v>185</v>
      </c>
      <c r="F22" s="5" t="s">
        <v>77</v>
      </c>
      <c r="G22" s="5" t="s">
        <v>28</v>
      </c>
      <c r="H22" s="5" t="s">
        <v>23</v>
      </c>
      <c r="I22" s="6">
        <v>289</v>
      </c>
      <c r="J22" s="7">
        <v>1</v>
      </c>
      <c r="K22" s="8">
        <v>0.7</v>
      </c>
      <c r="L22" s="6">
        <f t="shared" si="0"/>
        <v>86.700000000000017</v>
      </c>
      <c r="M22" s="7" t="s">
        <v>89</v>
      </c>
      <c r="N22" s="5" t="str">
        <f t="shared" ca="1" si="1"/>
        <v>South  45019</v>
      </c>
    </row>
    <row r="23" spans="1:14" ht="15" thickBot="1" x14ac:dyDescent="0.35">
      <c r="A23" s="9">
        <f ca="1">DATE(YEAR(TODAY())-3,11,20)</f>
        <v>45250</v>
      </c>
      <c r="B23" s="9">
        <f ca="1">DATE(YEAR(TODAY())-3,11,24)</f>
        <v>45254</v>
      </c>
      <c r="C23" s="5" t="s">
        <v>20</v>
      </c>
      <c r="D23" s="5" t="s">
        <v>90</v>
      </c>
      <c r="E23" s="5" t="s">
        <v>91</v>
      </c>
      <c r="F23" s="5" t="s">
        <v>16</v>
      </c>
      <c r="G23" s="5" t="s">
        <v>17</v>
      </c>
      <c r="H23" s="5" t="s">
        <v>23</v>
      </c>
      <c r="I23" s="6">
        <v>68.81</v>
      </c>
      <c r="J23" s="7">
        <v>5</v>
      </c>
      <c r="K23" s="8">
        <v>0.8</v>
      </c>
      <c r="L23" s="6">
        <f t="shared" si="0"/>
        <v>68.809999999999988</v>
      </c>
      <c r="M23" s="7" t="s">
        <v>92</v>
      </c>
      <c r="N23" s="5" t="str">
        <f t="shared" ca="1" si="1"/>
        <v>Central  45250</v>
      </c>
    </row>
    <row r="24" spans="1:14" ht="15" thickBot="1" x14ac:dyDescent="0.35">
      <c r="A24" s="9">
        <f ca="1">DATE(YEAR(TODAY())-2,9,17)</f>
        <v>45552</v>
      </c>
      <c r="B24" s="9">
        <f ca="1">DATE(YEAR(TODAY())-2,9,22)</f>
        <v>45557</v>
      </c>
      <c r="C24" s="5" t="s">
        <v>20</v>
      </c>
      <c r="D24" s="5" t="s">
        <v>93</v>
      </c>
      <c r="E24" s="5" t="s">
        <v>113</v>
      </c>
      <c r="F24" s="5" t="s">
        <v>114</v>
      </c>
      <c r="G24" s="5" t="s">
        <v>17</v>
      </c>
      <c r="H24" s="5" t="s">
        <v>23</v>
      </c>
      <c r="I24" s="6">
        <v>4.62</v>
      </c>
      <c r="J24" s="7">
        <v>1</v>
      </c>
      <c r="K24" s="8">
        <v>0.2</v>
      </c>
      <c r="L24" s="6">
        <f t="shared" si="0"/>
        <v>3.6960000000000002</v>
      </c>
      <c r="M24" s="7" t="s">
        <v>94</v>
      </c>
      <c r="N24" s="5" t="str">
        <f t="shared" ca="1" si="1"/>
        <v>Central  45552</v>
      </c>
    </row>
    <row r="25" spans="1:14" ht="15" thickBot="1" x14ac:dyDescent="0.35">
      <c r="A25" s="9">
        <f ca="1">DATE(YEAR(TODAY())-1,11,22)</f>
        <v>45983</v>
      </c>
      <c r="B25" s="9">
        <f ca="1">DATE(YEAR(TODAY())-1,11,27)</f>
        <v>45988</v>
      </c>
      <c r="C25" s="5" t="s">
        <v>20</v>
      </c>
      <c r="D25" s="5" t="s">
        <v>95</v>
      </c>
      <c r="E25" s="5" t="s">
        <v>124</v>
      </c>
      <c r="F25" s="5" t="s">
        <v>125</v>
      </c>
      <c r="G25" s="5" t="s">
        <v>17</v>
      </c>
      <c r="H25" s="5" t="s">
        <v>32</v>
      </c>
      <c r="I25" s="6">
        <v>74.11</v>
      </c>
      <c r="J25" s="7">
        <v>8</v>
      </c>
      <c r="K25" s="8">
        <v>0.2</v>
      </c>
      <c r="L25" s="6">
        <f t="shared" si="0"/>
        <v>474.30400000000003</v>
      </c>
      <c r="M25" s="7" t="s">
        <v>97</v>
      </c>
      <c r="N25" s="5" t="str">
        <f t="shared" ca="1" si="1"/>
        <v>Central  45983</v>
      </c>
    </row>
    <row r="26" spans="1:14" ht="15" thickBot="1" x14ac:dyDescent="0.35">
      <c r="A26" s="9">
        <f ca="1">DATE(YEAR(TODAY())-2,12,10)</f>
        <v>45636</v>
      </c>
      <c r="B26" s="9">
        <f ca="1">DATE(YEAR(TODAY())-2,12,16)</f>
        <v>45642</v>
      </c>
      <c r="C26" s="5" t="s">
        <v>20</v>
      </c>
      <c r="D26" s="5" t="s">
        <v>98</v>
      </c>
      <c r="E26" s="5" t="s">
        <v>22</v>
      </c>
      <c r="F26" s="5" t="s">
        <v>16</v>
      </c>
      <c r="G26" s="5" t="s">
        <v>17</v>
      </c>
      <c r="H26" s="5" t="s">
        <v>32</v>
      </c>
      <c r="I26" s="6">
        <v>1029.95</v>
      </c>
      <c r="J26" s="7">
        <v>5</v>
      </c>
      <c r="K26" s="8">
        <v>0</v>
      </c>
      <c r="L26" s="6">
        <f t="shared" si="0"/>
        <v>5149.75</v>
      </c>
      <c r="M26" s="7" t="s">
        <v>99</v>
      </c>
      <c r="N26" s="5" t="str">
        <f t="shared" ca="1" si="1"/>
        <v>Central  45636</v>
      </c>
    </row>
    <row r="27" spans="1:14" ht="15" thickBot="1" x14ac:dyDescent="0.35">
      <c r="A27" s="9">
        <f ca="1">DATE(YEAR(TODAY())-4,9,13)</f>
        <v>44817</v>
      </c>
      <c r="B27" s="9">
        <f ca="1">DATE(YEAR(TODAY())-4,9,18)</f>
        <v>44822</v>
      </c>
      <c r="C27" s="5" t="s">
        <v>20</v>
      </c>
      <c r="D27" s="5" t="s">
        <v>100</v>
      </c>
      <c r="E27" s="5" t="s">
        <v>35</v>
      </c>
      <c r="F27" s="5" t="s">
        <v>36</v>
      </c>
      <c r="G27" s="5" t="s">
        <v>37</v>
      </c>
      <c r="H27" s="5" t="s">
        <v>23</v>
      </c>
      <c r="I27" s="6">
        <v>52.45</v>
      </c>
      <c r="J27" s="7">
        <v>2</v>
      </c>
      <c r="K27" s="8">
        <v>0.8</v>
      </c>
      <c r="L27" s="6">
        <f t="shared" si="0"/>
        <v>20.979999999999997</v>
      </c>
      <c r="M27" s="7" t="s">
        <v>101</v>
      </c>
      <c r="N27" s="5" t="str">
        <f t="shared" ca="1" si="1"/>
        <v>East  44817</v>
      </c>
    </row>
    <row r="28" spans="1:14" ht="15" thickBot="1" x14ac:dyDescent="0.35">
      <c r="A28" s="9">
        <f ca="1">DATE(YEAR(TODAY())-3,12,13)</f>
        <v>45273</v>
      </c>
      <c r="B28" s="9">
        <f ca="1">DATE(YEAR(TODAY())-3,12,17)</f>
        <v>45277</v>
      </c>
      <c r="C28" s="5" t="s">
        <v>20</v>
      </c>
      <c r="D28" s="5" t="s">
        <v>102</v>
      </c>
      <c r="E28" s="5" t="s">
        <v>45</v>
      </c>
      <c r="F28" s="5" t="s">
        <v>46</v>
      </c>
      <c r="G28" s="5" t="s">
        <v>28</v>
      </c>
      <c r="H28" s="5" t="s">
        <v>23</v>
      </c>
      <c r="I28" s="6">
        <v>3.28</v>
      </c>
      <c r="J28" s="7">
        <v>1</v>
      </c>
      <c r="K28" s="8">
        <v>0</v>
      </c>
      <c r="L28" s="6">
        <f t="shared" si="0"/>
        <v>3.28</v>
      </c>
      <c r="M28" s="7" t="s">
        <v>103</v>
      </c>
      <c r="N28" s="5" t="str">
        <f t="shared" ca="1" si="1"/>
        <v>South  45273</v>
      </c>
    </row>
    <row r="29" spans="1:14" ht="15" thickBot="1" x14ac:dyDescent="0.35">
      <c r="A29" s="9">
        <f ca="1">DATE(YEAR(TODAY())-3,4,24)</f>
        <v>45040</v>
      </c>
      <c r="B29" s="9">
        <f ca="1">DATE(YEAR(TODAY())-3,4,30)</f>
        <v>45046</v>
      </c>
      <c r="C29" s="5" t="s">
        <v>20</v>
      </c>
      <c r="D29" s="5" t="s">
        <v>104</v>
      </c>
      <c r="E29" s="5" t="s">
        <v>15</v>
      </c>
      <c r="F29" s="5" t="s">
        <v>16</v>
      </c>
      <c r="G29" s="5" t="s">
        <v>17</v>
      </c>
      <c r="H29" s="5" t="s">
        <v>18</v>
      </c>
      <c r="I29" s="6">
        <v>831.94</v>
      </c>
      <c r="J29" s="7">
        <v>8</v>
      </c>
      <c r="K29" s="8">
        <v>0.2</v>
      </c>
      <c r="L29" s="6">
        <f t="shared" si="0"/>
        <v>5324.4160000000011</v>
      </c>
      <c r="M29" s="7" t="s">
        <v>106</v>
      </c>
      <c r="N29" s="5" t="str">
        <f t="shared" ca="1" si="1"/>
        <v>Central  45040</v>
      </c>
    </row>
    <row r="30" spans="1:14" ht="15" thickBot="1" x14ac:dyDescent="0.35">
      <c r="A30" s="9">
        <f ca="1">DATE(YEAR(TODAY())-2,9,4)</f>
        <v>45539</v>
      </c>
      <c r="B30" s="9">
        <f ca="1">DATE(YEAR(TODAY())-2,9,6)</f>
        <v>45541</v>
      </c>
      <c r="C30" s="5" t="s">
        <v>13</v>
      </c>
      <c r="D30" s="5" t="s">
        <v>107</v>
      </c>
      <c r="E30" s="5" t="s">
        <v>15</v>
      </c>
      <c r="F30" s="5" t="s">
        <v>16</v>
      </c>
      <c r="G30" s="5" t="s">
        <v>17</v>
      </c>
      <c r="H30" s="5" t="s">
        <v>18</v>
      </c>
      <c r="I30" s="6">
        <v>82.8</v>
      </c>
      <c r="J30" s="7">
        <v>2</v>
      </c>
      <c r="K30" s="8">
        <v>0.2</v>
      </c>
      <c r="L30" s="6">
        <f t="shared" si="0"/>
        <v>132.47999999999999</v>
      </c>
      <c r="M30" s="7" t="s">
        <v>108</v>
      </c>
      <c r="N30" s="5" t="str">
        <f t="shared" ca="1" si="1"/>
        <v>Central  45539</v>
      </c>
    </row>
    <row r="31" spans="1:14" ht="15" thickBot="1" x14ac:dyDescent="0.35">
      <c r="A31" s="9">
        <f ca="1">DATE(YEAR(TODAY())-3,9,1)</f>
        <v>45170</v>
      </c>
      <c r="B31" s="9">
        <f ca="1">DATE(YEAR(TODAY())-3,9,6)</f>
        <v>45175</v>
      </c>
      <c r="C31" s="5" t="s">
        <v>20</v>
      </c>
      <c r="D31" s="5" t="s">
        <v>109</v>
      </c>
      <c r="E31" s="5" t="s">
        <v>15</v>
      </c>
      <c r="F31" s="5" t="s">
        <v>16</v>
      </c>
      <c r="G31" s="5" t="s">
        <v>17</v>
      </c>
      <c r="H31" s="5" t="s">
        <v>23</v>
      </c>
      <c r="I31" s="6">
        <v>200.98</v>
      </c>
      <c r="J31" s="7">
        <v>7</v>
      </c>
      <c r="K31" s="8">
        <v>0.2</v>
      </c>
      <c r="L31" s="6">
        <f t="shared" si="0"/>
        <v>1125.4880000000001</v>
      </c>
      <c r="M31" s="7" t="s">
        <v>111</v>
      </c>
      <c r="N31" s="5" t="str">
        <f t="shared" ca="1" si="1"/>
        <v>Central  45170</v>
      </c>
    </row>
    <row r="32" spans="1:14" ht="15" thickBot="1" x14ac:dyDescent="0.35">
      <c r="A32" s="9">
        <f ca="1">DATE(YEAR(TODAY())-2,12,4)</f>
        <v>45630</v>
      </c>
      <c r="B32" s="9">
        <f ca="1">DATE(YEAR(TODAY())-2,12,8)</f>
        <v>45634</v>
      </c>
      <c r="C32" s="5" t="s">
        <v>20</v>
      </c>
      <c r="D32" s="5" t="s">
        <v>112</v>
      </c>
      <c r="E32" s="5" t="s">
        <v>15</v>
      </c>
      <c r="F32" s="5" t="s">
        <v>16</v>
      </c>
      <c r="G32" s="5" t="s">
        <v>17</v>
      </c>
      <c r="H32" s="5" t="s">
        <v>18</v>
      </c>
      <c r="I32" s="6">
        <v>113</v>
      </c>
      <c r="J32" s="7">
        <v>8</v>
      </c>
      <c r="K32" s="8">
        <v>0</v>
      </c>
      <c r="L32" s="6">
        <f t="shared" si="0"/>
        <v>904</v>
      </c>
      <c r="M32" s="7" t="s">
        <v>115</v>
      </c>
      <c r="N32" s="5" t="str">
        <f t="shared" ca="1" si="1"/>
        <v>Central  45630</v>
      </c>
    </row>
    <row r="33" spans="1:14" ht="15" thickBot="1" x14ac:dyDescent="0.35">
      <c r="A33" s="9">
        <f ca="1">DATE(YEAR(TODAY())-2,6,3)</f>
        <v>45446</v>
      </c>
      <c r="B33" s="9">
        <f ca="1">DATE(YEAR(TODAY())-2,6,5)</f>
        <v>45448</v>
      </c>
      <c r="C33" s="5" t="s">
        <v>39</v>
      </c>
      <c r="D33" s="5" t="s">
        <v>116</v>
      </c>
      <c r="E33" s="5" t="s">
        <v>15</v>
      </c>
      <c r="F33" s="5" t="s">
        <v>16</v>
      </c>
      <c r="G33" s="5" t="s">
        <v>17</v>
      </c>
      <c r="H33" s="5" t="s">
        <v>23</v>
      </c>
      <c r="I33" s="6">
        <v>75.88</v>
      </c>
      <c r="J33" s="7">
        <v>2</v>
      </c>
      <c r="K33" s="8">
        <v>0</v>
      </c>
      <c r="L33" s="6">
        <f t="shared" si="0"/>
        <v>151.76</v>
      </c>
      <c r="M33" s="7" t="s">
        <v>119</v>
      </c>
      <c r="N33" s="5" t="str">
        <f t="shared" ca="1" si="1"/>
        <v>Central  45446</v>
      </c>
    </row>
    <row r="34" spans="1:14" ht="15" thickBot="1" x14ac:dyDescent="0.35">
      <c r="A34" s="9">
        <f ca="1">DATE(YEAR(TODAY())-3,1,30)</f>
        <v>44956</v>
      </c>
      <c r="B34" s="9">
        <f ca="1">DATE(YEAR(TODAY())-3,2,4)</f>
        <v>44961</v>
      </c>
      <c r="C34" s="5" t="s">
        <v>13</v>
      </c>
      <c r="D34" s="5" t="s">
        <v>120</v>
      </c>
      <c r="E34" s="5" t="s">
        <v>15</v>
      </c>
      <c r="F34" s="5" t="s">
        <v>16</v>
      </c>
      <c r="G34" s="5" t="s">
        <v>17</v>
      </c>
      <c r="H34" s="5" t="s">
        <v>18</v>
      </c>
      <c r="I34" s="6">
        <v>53.34</v>
      </c>
      <c r="J34" s="7">
        <v>3</v>
      </c>
      <c r="K34" s="8">
        <v>0</v>
      </c>
      <c r="L34" s="6">
        <f t="shared" si="0"/>
        <v>160.02000000000001</v>
      </c>
      <c r="M34" s="7" t="s">
        <v>122</v>
      </c>
      <c r="N34" s="5" t="str">
        <f t="shared" ca="1" si="1"/>
        <v>Central  44956</v>
      </c>
    </row>
    <row r="35" spans="1:14" ht="15" thickBot="1" x14ac:dyDescent="0.35">
      <c r="A35" s="9">
        <f ca="1">DATE(YEAR(TODAY())-2,12,8)</f>
        <v>45634</v>
      </c>
      <c r="B35" s="9">
        <f ca="1">DATE(YEAR(TODAY())-2,12,12)</f>
        <v>45638</v>
      </c>
      <c r="C35" s="5" t="s">
        <v>20</v>
      </c>
      <c r="D35" s="5" t="s">
        <v>123</v>
      </c>
      <c r="E35" s="5" t="s">
        <v>181</v>
      </c>
      <c r="F35" s="5" t="s">
        <v>182</v>
      </c>
      <c r="G35" s="5" t="s">
        <v>17</v>
      </c>
      <c r="H35" s="5" t="s">
        <v>23</v>
      </c>
      <c r="I35" s="6">
        <v>60.34</v>
      </c>
      <c r="J35" s="7">
        <v>7</v>
      </c>
      <c r="K35" s="8">
        <v>0</v>
      </c>
      <c r="L35" s="6">
        <f t="shared" si="0"/>
        <v>422.38</v>
      </c>
      <c r="M35" s="7" t="s">
        <v>126</v>
      </c>
      <c r="N35" s="5" t="str">
        <f t="shared" ca="1" si="1"/>
        <v>Central  45634</v>
      </c>
    </row>
    <row r="36" spans="1:14" ht="15" thickBot="1" x14ac:dyDescent="0.35">
      <c r="A36" s="9">
        <f ca="1">DATE(YEAR(TODAY())-1,12,8)</f>
        <v>45999</v>
      </c>
      <c r="B36" s="9">
        <f ca="1">DATE(YEAR(TODAY())-1,12,10)</f>
        <v>46001</v>
      </c>
      <c r="C36" s="5" t="s">
        <v>39</v>
      </c>
      <c r="D36" s="5" t="s">
        <v>127</v>
      </c>
      <c r="E36" s="5" t="s">
        <v>161</v>
      </c>
      <c r="F36" s="5" t="s">
        <v>114</v>
      </c>
      <c r="G36" s="5" t="s">
        <v>17</v>
      </c>
      <c r="H36" s="5" t="s">
        <v>23</v>
      </c>
      <c r="I36" s="6">
        <v>27.24</v>
      </c>
      <c r="J36" s="7">
        <v>3</v>
      </c>
      <c r="K36" s="8">
        <v>0.2</v>
      </c>
      <c r="L36" s="6">
        <f t="shared" ref="L36:L64" si="2">I36*J36*(1-K36)</f>
        <v>65.376000000000005</v>
      </c>
      <c r="M36" s="7" t="s">
        <v>128</v>
      </c>
      <c r="N36" s="5" t="str">
        <f t="shared" ca="1" si="1"/>
        <v>Central  45999</v>
      </c>
    </row>
    <row r="37" spans="1:14" ht="15" thickBot="1" x14ac:dyDescent="0.35">
      <c r="A37" s="9">
        <f ca="1">DATE(YEAR(TODAY())-2,6,19)</f>
        <v>45462</v>
      </c>
      <c r="B37" s="9">
        <f ca="1">DATE(YEAR(TODAY())-2,6,24)</f>
        <v>45467</v>
      </c>
      <c r="C37" s="5" t="s">
        <v>20</v>
      </c>
      <c r="D37" s="5" t="s">
        <v>129</v>
      </c>
      <c r="E37" s="5" t="s">
        <v>76</v>
      </c>
      <c r="F37" s="5" t="s">
        <v>77</v>
      </c>
      <c r="G37" s="5" t="s">
        <v>28</v>
      </c>
      <c r="H37" s="5" t="s">
        <v>32</v>
      </c>
      <c r="I37" s="6">
        <v>45</v>
      </c>
      <c r="J37" s="7">
        <v>3</v>
      </c>
      <c r="K37" s="8">
        <v>0</v>
      </c>
      <c r="L37" s="6">
        <f t="shared" si="2"/>
        <v>135</v>
      </c>
      <c r="M37" s="7" t="s">
        <v>132</v>
      </c>
      <c r="N37" s="5" t="str">
        <f t="shared" ca="1" si="1"/>
        <v>South  45462</v>
      </c>
    </row>
    <row r="38" spans="1:14" ht="15" thickBot="1" x14ac:dyDescent="0.35">
      <c r="A38" s="9">
        <f ca="1">DATE(YEAR(TODAY())-1,9,9)</f>
        <v>45909</v>
      </c>
      <c r="B38" s="9">
        <f ca="1">DATE(YEAR(TODAY())-1,9,14)</f>
        <v>45914</v>
      </c>
      <c r="C38" s="5" t="s">
        <v>20</v>
      </c>
      <c r="D38" s="5" t="s">
        <v>206</v>
      </c>
      <c r="E38" s="5" t="s">
        <v>105</v>
      </c>
      <c r="F38" s="5" t="s">
        <v>88</v>
      </c>
      <c r="G38" s="5" t="s">
        <v>28</v>
      </c>
      <c r="H38" s="5" t="s">
        <v>32</v>
      </c>
      <c r="I38" s="6">
        <v>147.16999999999999</v>
      </c>
      <c r="J38" s="7">
        <v>4</v>
      </c>
      <c r="K38" s="8">
        <v>0.2</v>
      </c>
      <c r="L38" s="6">
        <f t="shared" si="2"/>
        <v>470.94399999999996</v>
      </c>
      <c r="M38" s="7" t="s">
        <v>134</v>
      </c>
      <c r="N38" s="5" t="str">
        <f t="shared" ca="1" si="1"/>
        <v>South  45909</v>
      </c>
    </row>
    <row r="39" spans="1:14" ht="15" thickBot="1" x14ac:dyDescent="0.35">
      <c r="A39" s="9">
        <f ca="1">DATE(YEAR(TODAY())-3,10,10)</f>
        <v>45209</v>
      </c>
      <c r="B39" s="9">
        <f ca="1">DATE(YEAR(TODAY())-3,10,12)</f>
        <v>45211</v>
      </c>
      <c r="C39" s="5" t="s">
        <v>39</v>
      </c>
      <c r="D39" s="5" t="s">
        <v>135</v>
      </c>
      <c r="E39" s="5" t="s">
        <v>121</v>
      </c>
      <c r="F39" s="5" t="s">
        <v>69</v>
      </c>
      <c r="G39" s="5" t="s">
        <v>17</v>
      </c>
      <c r="H39" s="5" t="s">
        <v>18</v>
      </c>
      <c r="I39" s="6">
        <v>899.14</v>
      </c>
      <c r="J39" s="7">
        <v>4</v>
      </c>
      <c r="K39" s="8">
        <v>0.2</v>
      </c>
      <c r="L39" s="6">
        <f t="shared" si="2"/>
        <v>2877.248</v>
      </c>
      <c r="M39" s="7" t="s">
        <v>136</v>
      </c>
      <c r="N39" s="5" t="str">
        <f t="shared" ca="1" si="1"/>
        <v>Central  45209</v>
      </c>
    </row>
    <row r="40" spans="1:14" ht="15" thickBot="1" x14ac:dyDescent="0.35">
      <c r="A40" s="9">
        <f ca="1">DATE(YEAR(TODAY())-1,10,18)</f>
        <v>45948</v>
      </c>
      <c r="B40" s="9">
        <f ca="1">DATE(YEAR(TODAY())-1,10,22)</f>
        <v>45952</v>
      </c>
      <c r="C40" s="5" t="s">
        <v>13</v>
      </c>
      <c r="D40" s="5" t="s">
        <v>137</v>
      </c>
      <c r="E40" s="5" t="s">
        <v>169</v>
      </c>
      <c r="F40" s="5" t="s">
        <v>170</v>
      </c>
      <c r="G40" s="5" t="s">
        <v>28</v>
      </c>
      <c r="H40" s="5" t="s">
        <v>23</v>
      </c>
      <c r="I40" s="6">
        <v>29.47</v>
      </c>
      <c r="J40" s="7">
        <v>3</v>
      </c>
      <c r="K40" s="8">
        <v>0.2</v>
      </c>
      <c r="L40" s="6">
        <f t="shared" si="2"/>
        <v>70.727999999999994</v>
      </c>
      <c r="M40" s="7" t="s">
        <v>138</v>
      </c>
      <c r="N40" s="5" t="str">
        <f t="shared" ca="1" si="1"/>
        <v>South  45948</v>
      </c>
    </row>
    <row r="41" spans="1:14" ht="15" thickBot="1" x14ac:dyDescent="0.35">
      <c r="A41" s="9">
        <f ca="1">DATE(YEAR(TODAY())-4,10,21)</f>
        <v>44855</v>
      </c>
      <c r="B41" s="9">
        <f ca="1">DATE(YEAR(TODAY())-4,10,27)</f>
        <v>44861</v>
      </c>
      <c r="C41" s="5" t="s">
        <v>20</v>
      </c>
      <c r="D41" s="5" t="s">
        <v>139</v>
      </c>
      <c r="E41" s="5" t="s">
        <v>133</v>
      </c>
      <c r="F41" s="5" t="s">
        <v>42</v>
      </c>
      <c r="G41" s="5" t="s">
        <v>17</v>
      </c>
      <c r="H41" s="5" t="s">
        <v>18</v>
      </c>
      <c r="I41" s="6">
        <v>93.89</v>
      </c>
      <c r="J41" s="7">
        <v>4</v>
      </c>
      <c r="K41" s="8">
        <v>0.2</v>
      </c>
      <c r="L41" s="6">
        <f t="shared" si="2"/>
        <v>300.44800000000004</v>
      </c>
      <c r="M41" s="7" t="s">
        <v>141</v>
      </c>
      <c r="N41" s="5" t="str">
        <f t="shared" ca="1" si="1"/>
        <v>Central  44855</v>
      </c>
    </row>
    <row r="42" spans="1:14" ht="15" thickBot="1" x14ac:dyDescent="0.35">
      <c r="A42" s="9">
        <f ca="1">DATE(YEAR(TODAY())-2,11,19)</f>
        <v>45615</v>
      </c>
      <c r="B42" s="9">
        <f ca="1">DATE(YEAR(TODAY())-2,11,23)</f>
        <v>45619</v>
      </c>
      <c r="C42" s="5" t="s">
        <v>20</v>
      </c>
      <c r="D42" s="5" t="s">
        <v>142</v>
      </c>
      <c r="E42" s="5" t="s">
        <v>57</v>
      </c>
      <c r="F42" s="5" t="s">
        <v>58</v>
      </c>
      <c r="G42" s="5" t="s">
        <v>17</v>
      </c>
      <c r="H42" s="5" t="s">
        <v>32</v>
      </c>
      <c r="I42" s="6">
        <v>944.93</v>
      </c>
      <c r="J42" s="7">
        <v>7</v>
      </c>
      <c r="K42" s="8">
        <v>0</v>
      </c>
      <c r="L42" s="6">
        <f t="shared" si="2"/>
        <v>6614.5099999999993</v>
      </c>
      <c r="M42" s="7" t="s">
        <v>145</v>
      </c>
      <c r="N42" s="5" t="str">
        <f t="shared" ca="1" si="1"/>
        <v>Central  45615</v>
      </c>
    </row>
    <row r="43" spans="1:14" ht="15" thickBot="1" x14ac:dyDescent="0.35">
      <c r="A43" s="9">
        <f ca="1">DATE(YEAR(TODAY())-2,3,10)</f>
        <v>45361</v>
      </c>
      <c r="B43" s="9">
        <f ca="1">DATE(YEAR(TODAY())-2,3,12)</f>
        <v>45363</v>
      </c>
      <c r="C43" s="5" t="s">
        <v>39</v>
      </c>
      <c r="D43" s="5" t="s">
        <v>146</v>
      </c>
      <c r="E43" s="5" t="s">
        <v>53</v>
      </c>
      <c r="F43" s="5" t="s">
        <v>54</v>
      </c>
      <c r="G43" s="5" t="s">
        <v>37</v>
      </c>
      <c r="H43" s="5" t="s">
        <v>32</v>
      </c>
      <c r="I43" s="6">
        <v>45.98</v>
      </c>
      <c r="J43" s="7">
        <v>2</v>
      </c>
      <c r="K43" s="8">
        <v>0</v>
      </c>
      <c r="L43" s="6">
        <f t="shared" si="2"/>
        <v>91.96</v>
      </c>
      <c r="M43" s="7" t="s">
        <v>148</v>
      </c>
      <c r="N43" s="5" t="str">
        <f t="shared" ca="1" si="1"/>
        <v>East  45361</v>
      </c>
    </row>
    <row r="44" spans="1:14" ht="15" thickBot="1" x14ac:dyDescent="0.35">
      <c r="A44" s="9">
        <f ca="1">DATE(YEAR(TODAY())-1,11,8)</f>
        <v>45969</v>
      </c>
      <c r="B44" s="9">
        <f ca="1">DATE(YEAR(TODAY())-1,11,10)</f>
        <v>45971</v>
      </c>
      <c r="C44" s="5" t="s">
        <v>13</v>
      </c>
      <c r="D44" s="5" t="s">
        <v>149</v>
      </c>
      <c r="E44" s="5" t="s">
        <v>53</v>
      </c>
      <c r="F44" s="5" t="s">
        <v>54</v>
      </c>
      <c r="G44" s="5" t="s">
        <v>37</v>
      </c>
      <c r="H44" s="5" t="s">
        <v>18</v>
      </c>
      <c r="I44" s="6">
        <v>96.53</v>
      </c>
      <c r="J44" s="7">
        <v>7</v>
      </c>
      <c r="K44" s="8">
        <v>0</v>
      </c>
      <c r="L44" s="6">
        <f t="shared" si="2"/>
        <v>675.71</v>
      </c>
      <c r="M44" s="7" t="s">
        <v>150</v>
      </c>
      <c r="N44" s="5" t="str">
        <f t="shared" ca="1" si="1"/>
        <v>East  45969</v>
      </c>
    </row>
    <row r="45" spans="1:14" ht="15" thickBot="1" x14ac:dyDescent="0.35">
      <c r="A45" s="9">
        <f ca="1">DATE(YEAR(TODAY())-1,5,27)</f>
        <v>45804</v>
      </c>
      <c r="B45" s="9">
        <f ca="1">DATE(YEAR(TODAY())-1,5,29)</f>
        <v>45806</v>
      </c>
      <c r="C45" s="5" t="s">
        <v>13</v>
      </c>
      <c r="D45" s="5" t="s">
        <v>151</v>
      </c>
      <c r="E45" s="5" t="s">
        <v>53</v>
      </c>
      <c r="F45" s="5" t="s">
        <v>54</v>
      </c>
      <c r="G45" s="5" t="s">
        <v>37</v>
      </c>
      <c r="H45" s="5" t="s">
        <v>18</v>
      </c>
      <c r="I45" s="6">
        <v>301.95999999999998</v>
      </c>
      <c r="J45" s="7">
        <v>2</v>
      </c>
      <c r="K45" s="8">
        <v>0</v>
      </c>
      <c r="L45" s="6">
        <f t="shared" si="2"/>
        <v>603.91999999999996</v>
      </c>
      <c r="M45" s="7" t="s">
        <v>60</v>
      </c>
      <c r="N45" s="5" t="str">
        <f t="shared" ca="1" si="1"/>
        <v>East  45804</v>
      </c>
    </row>
    <row r="46" spans="1:14" ht="15" thickBot="1" x14ac:dyDescent="0.35">
      <c r="A46" s="9">
        <f ca="1">DATE(YEAR(TODAY())-1,10,25)</f>
        <v>45955</v>
      </c>
      <c r="B46" s="9">
        <f ca="1">DATE(YEAR(TODAY())-1,11,1)</f>
        <v>45962</v>
      </c>
      <c r="C46" s="5" t="s">
        <v>20</v>
      </c>
      <c r="D46" s="5" t="s">
        <v>154</v>
      </c>
      <c r="E46" s="5" t="s">
        <v>53</v>
      </c>
      <c r="F46" s="5" t="s">
        <v>54</v>
      </c>
      <c r="G46" s="5" t="s">
        <v>37</v>
      </c>
      <c r="H46" s="5" t="s">
        <v>32</v>
      </c>
      <c r="I46" s="6">
        <v>19.989999999999998</v>
      </c>
      <c r="J46" s="7">
        <v>1</v>
      </c>
      <c r="K46" s="8">
        <v>0</v>
      </c>
      <c r="L46" s="6">
        <f t="shared" si="2"/>
        <v>19.989999999999998</v>
      </c>
      <c r="M46" s="7" t="s">
        <v>78</v>
      </c>
      <c r="N46" s="5" t="str">
        <f t="shared" ca="1" si="1"/>
        <v>East  45955</v>
      </c>
    </row>
    <row r="47" spans="1:14" ht="15" thickBot="1" x14ac:dyDescent="0.35">
      <c r="A47" s="9">
        <f ca="1">DATE(YEAR(TODAY())-3,4,28)</f>
        <v>45044</v>
      </c>
      <c r="B47" s="9">
        <f ca="1">DATE(YEAR(TODAY())-3,5,3)</f>
        <v>45049</v>
      </c>
      <c r="C47" s="5" t="s">
        <v>20</v>
      </c>
      <c r="D47" s="5" t="s">
        <v>155</v>
      </c>
      <c r="E47" s="5" t="s">
        <v>53</v>
      </c>
      <c r="F47" s="5" t="s">
        <v>54</v>
      </c>
      <c r="G47" s="5" t="s">
        <v>37</v>
      </c>
      <c r="H47" s="5" t="s">
        <v>18</v>
      </c>
      <c r="I47" s="6">
        <v>213.12</v>
      </c>
      <c r="J47" s="7">
        <v>5</v>
      </c>
      <c r="K47" s="8">
        <v>0.3</v>
      </c>
      <c r="L47" s="6">
        <f t="shared" si="2"/>
        <v>745.91999999999985</v>
      </c>
      <c r="M47" s="7" t="s">
        <v>156</v>
      </c>
      <c r="N47" s="5" t="str">
        <f t="shared" ca="1" si="1"/>
        <v>East  45044</v>
      </c>
    </row>
    <row r="48" spans="1:14" ht="15" thickBot="1" x14ac:dyDescent="0.35">
      <c r="A48" s="9">
        <f ca="1">DATE(YEAR(TODAY())-3,10,13)</f>
        <v>45212</v>
      </c>
      <c r="B48" s="9">
        <f ca="1">DATE(YEAR(TODAY())-3,10,18)</f>
        <v>45217</v>
      </c>
      <c r="C48" s="5" t="s">
        <v>20</v>
      </c>
      <c r="D48" s="5" t="s">
        <v>157</v>
      </c>
      <c r="E48" s="5" t="s">
        <v>53</v>
      </c>
      <c r="F48" s="5" t="s">
        <v>54</v>
      </c>
      <c r="G48" s="5" t="s">
        <v>37</v>
      </c>
      <c r="H48" s="5" t="s">
        <v>32</v>
      </c>
      <c r="I48" s="6">
        <v>339.96</v>
      </c>
      <c r="J48" s="7">
        <v>5</v>
      </c>
      <c r="K48" s="8">
        <v>0.2</v>
      </c>
      <c r="L48" s="6">
        <f t="shared" si="2"/>
        <v>1359.8400000000001</v>
      </c>
      <c r="M48" s="7" t="s">
        <v>159</v>
      </c>
      <c r="N48" s="5" t="str">
        <f t="shared" ca="1" si="1"/>
        <v>East  45212</v>
      </c>
    </row>
    <row r="49" spans="1:14" ht="15" thickBot="1" x14ac:dyDescent="0.35">
      <c r="A49" s="9">
        <f ca="1">DATE(YEAR(TODAY())-4,11,10)</f>
        <v>44875</v>
      </c>
      <c r="B49" s="9">
        <f ca="1">DATE(YEAR(TODAY())-4,11,17)</f>
        <v>44882</v>
      </c>
      <c r="C49" s="5" t="s">
        <v>20</v>
      </c>
      <c r="D49" s="5" t="s">
        <v>160</v>
      </c>
      <c r="E49" s="5" t="s">
        <v>140</v>
      </c>
      <c r="F49" s="5" t="s">
        <v>36</v>
      </c>
      <c r="G49" s="5" t="s">
        <v>37</v>
      </c>
      <c r="H49" s="5" t="s">
        <v>23</v>
      </c>
      <c r="I49" s="6">
        <v>665.88</v>
      </c>
      <c r="J49" s="7">
        <v>6</v>
      </c>
      <c r="K49" s="8">
        <v>0</v>
      </c>
      <c r="L49" s="6">
        <f t="shared" si="2"/>
        <v>3995.2799999999997</v>
      </c>
      <c r="M49" s="7" t="s">
        <v>162</v>
      </c>
      <c r="N49" s="5" t="str">
        <f t="shared" ca="1" si="1"/>
        <v>East  44875</v>
      </c>
    </row>
    <row r="50" spans="1:14" ht="15" thickBot="1" x14ac:dyDescent="0.35">
      <c r="A50" s="9">
        <f ca="1">DATE(YEAR(TODAY())-4,9,19)</f>
        <v>44823</v>
      </c>
      <c r="B50" s="9">
        <f ca="1">DATE(YEAR(TODAY())-4,9,24)</f>
        <v>44828</v>
      </c>
      <c r="C50" s="5" t="s">
        <v>20</v>
      </c>
      <c r="D50" s="5" t="s">
        <v>163</v>
      </c>
      <c r="E50" s="5" t="s">
        <v>158</v>
      </c>
      <c r="F50" s="5" t="s">
        <v>42</v>
      </c>
      <c r="G50" s="5" t="s">
        <v>17</v>
      </c>
      <c r="H50" s="5" t="s">
        <v>18</v>
      </c>
      <c r="I50" s="6">
        <v>617.70000000000005</v>
      </c>
      <c r="J50" s="7">
        <v>6</v>
      </c>
      <c r="K50" s="8">
        <v>0.5</v>
      </c>
      <c r="L50" s="6">
        <f t="shared" si="2"/>
        <v>1853.1000000000001</v>
      </c>
      <c r="M50" s="7" t="s">
        <v>165</v>
      </c>
      <c r="N50" s="5" t="str">
        <f t="shared" ca="1" si="1"/>
        <v>Central  44823</v>
      </c>
    </row>
    <row r="51" spans="1:14" ht="15" thickBot="1" x14ac:dyDescent="0.35">
      <c r="A51" s="9">
        <f ca="1">DATE(YEAR(TODAY())-2,8,28)</f>
        <v>45532</v>
      </c>
      <c r="B51" s="9">
        <f ca="1">DATE(YEAR(TODAY())-2,9,1)</f>
        <v>45536</v>
      </c>
      <c r="C51" s="5" t="s">
        <v>20</v>
      </c>
      <c r="D51" s="5" t="s">
        <v>166</v>
      </c>
      <c r="E51" s="5" t="s">
        <v>72</v>
      </c>
      <c r="F51" s="5" t="s">
        <v>73</v>
      </c>
      <c r="G51" s="5" t="s">
        <v>37</v>
      </c>
      <c r="H51" s="5" t="s">
        <v>32</v>
      </c>
      <c r="I51" s="6">
        <v>95.98</v>
      </c>
      <c r="J51" s="7">
        <v>3</v>
      </c>
      <c r="K51" s="8">
        <v>0.2</v>
      </c>
      <c r="L51" s="6">
        <f t="shared" si="2"/>
        <v>230.352</v>
      </c>
      <c r="M51" s="7" t="s">
        <v>167</v>
      </c>
      <c r="N51" s="5" t="str">
        <f t="shared" ca="1" si="1"/>
        <v>East  45532</v>
      </c>
    </row>
    <row r="52" spans="1:14" ht="15" thickBot="1" x14ac:dyDescent="0.35">
      <c r="A52" s="9">
        <f ca="1">DATE(YEAR(TODAY())-4,11,18)</f>
        <v>44883</v>
      </c>
      <c r="B52" s="9">
        <f ca="1">DATE(YEAR(TODAY())-4,11,23)</f>
        <v>44888</v>
      </c>
      <c r="C52" s="5" t="s">
        <v>13</v>
      </c>
      <c r="D52" s="5" t="s">
        <v>168</v>
      </c>
      <c r="E52" s="5" t="s">
        <v>72</v>
      </c>
      <c r="F52" s="5" t="s">
        <v>73</v>
      </c>
      <c r="G52" s="5" t="s">
        <v>37</v>
      </c>
      <c r="H52" s="5" t="s">
        <v>32</v>
      </c>
      <c r="I52" s="6">
        <v>503.96</v>
      </c>
      <c r="J52" s="7">
        <v>4</v>
      </c>
      <c r="K52" s="8">
        <v>0</v>
      </c>
      <c r="L52" s="6">
        <f t="shared" si="2"/>
        <v>2015.84</v>
      </c>
      <c r="M52" s="7" t="s">
        <v>171</v>
      </c>
      <c r="N52" s="5" t="str">
        <f t="shared" ca="1" si="1"/>
        <v>East  44883</v>
      </c>
    </row>
    <row r="53" spans="1:14" ht="15" thickBot="1" x14ac:dyDescent="0.35">
      <c r="A53" s="9">
        <f ca="1">DATE(YEAR(TODAY())-4,8,24)</f>
        <v>44797</v>
      </c>
      <c r="B53" s="9">
        <f ca="1">DATE(YEAR(TODAY())-4,8,26)</f>
        <v>44799</v>
      </c>
      <c r="C53" s="5" t="s">
        <v>13</v>
      </c>
      <c r="D53" s="5" t="s">
        <v>172</v>
      </c>
      <c r="E53" s="5" t="s">
        <v>72</v>
      </c>
      <c r="F53" s="5" t="s">
        <v>73</v>
      </c>
      <c r="G53" s="5" t="s">
        <v>37</v>
      </c>
      <c r="H53" s="5" t="s">
        <v>23</v>
      </c>
      <c r="I53" s="6">
        <v>130.46</v>
      </c>
      <c r="J53" s="7">
        <v>6</v>
      </c>
      <c r="K53" s="8">
        <v>0.2</v>
      </c>
      <c r="L53" s="6">
        <f t="shared" si="2"/>
        <v>626.20800000000008</v>
      </c>
      <c r="M53" s="7" t="s">
        <v>173</v>
      </c>
      <c r="N53" s="5" t="str">
        <f t="shared" ca="1" si="1"/>
        <v>East  44797</v>
      </c>
    </row>
    <row r="54" spans="1:14" ht="15" thickBot="1" x14ac:dyDescent="0.35">
      <c r="A54" s="9">
        <f ca="1">DATE(YEAR(TODAY())-2,11,27)</f>
        <v>45623</v>
      </c>
      <c r="B54" s="9">
        <f ca="1">DATE(YEAR(TODAY())-2,12,1)</f>
        <v>45627</v>
      </c>
      <c r="C54" s="5" t="s">
        <v>20</v>
      </c>
      <c r="D54" s="5" t="s">
        <v>174</v>
      </c>
      <c r="E54" s="5" t="s">
        <v>72</v>
      </c>
      <c r="F54" s="5" t="s">
        <v>73</v>
      </c>
      <c r="G54" s="5" t="s">
        <v>37</v>
      </c>
      <c r="H54" s="5" t="s">
        <v>23</v>
      </c>
      <c r="I54" s="6">
        <v>7.16</v>
      </c>
      <c r="J54" s="7">
        <v>2</v>
      </c>
      <c r="K54" s="8">
        <v>0</v>
      </c>
      <c r="L54" s="6">
        <f t="shared" si="2"/>
        <v>14.32</v>
      </c>
      <c r="M54" s="7" t="s">
        <v>177</v>
      </c>
      <c r="N54" s="5" t="str">
        <f t="shared" ca="1" si="1"/>
        <v>East  45623</v>
      </c>
    </row>
    <row r="55" spans="1:14" ht="15" thickBot="1" x14ac:dyDescent="0.35">
      <c r="A55" s="9">
        <f ca="1">DATE(YEAR(TODAY())-1,7,15)</f>
        <v>45853</v>
      </c>
      <c r="B55" s="9">
        <f ca="1">DATE(YEAR(TODAY())-1,7,17)</f>
        <v>45855</v>
      </c>
      <c r="C55" s="5" t="s">
        <v>13</v>
      </c>
      <c r="D55" s="5" t="s">
        <v>178</v>
      </c>
      <c r="E55" s="5" t="s">
        <v>85</v>
      </c>
      <c r="F55" s="5" t="s">
        <v>16</v>
      </c>
      <c r="G55" s="5" t="s">
        <v>17</v>
      </c>
      <c r="H55" s="5" t="s">
        <v>18</v>
      </c>
      <c r="I55" s="6">
        <v>71.37</v>
      </c>
      <c r="J55" s="7">
        <v>2</v>
      </c>
      <c r="K55" s="8">
        <v>0.3</v>
      </c>
      <c r="L55" s="6">
        <f t="shared" si="2"/>
        <v>99.918000000000006</v>
      </c>
      <c r="M55" s="7" t="s">
        <v>179</v>
      </c>
      <c r="N55" s="5" t="str">
        <f t="shared" ca="1" si="1"/>
        <v>Central  45853</v>
      </c>
    </row>
    <row r="56" spans="1:14" ht="15" thickBot="1" x14ac:dyDescent="0.35">
      <c r="A56" s="9">
        <f ca="1">DATE(YEAR(TODAY())-1,12,21)</f>
        <v>46012</v>
      </c>
      <c r="B56" s="9">
        <f ca="1">DATE(YEAR(TODAY())-1,12,26)</f>
        <v>46017</v>
      </c>
      <c r="C56" s="5" t="s">
        <v>20</v>
      </c>
      <c r="D56" s="5" t="s">
        <v>180</v>
      </c>
      <c r="E56" s="5" t="s">
        <v>82</v>
      </c>
      <c r="F56" s="5" t="s">
        <v>69</v>
      </c>
      <c r="G56" s="5" t="s">
        <v>17</v>
      </c>
      <c r="H56" s="5" t="s">
        <v>23</v>
      </c>
      <c r="I56" s="6">
        <v>839.43</v>
      </c>
      <c r="J56" s="7">
        <v>3</v>
      </c>
      <c r="K56" s="8">
        <v>0</v>
      </c>
      <c r="L56" s="6">
        <f t="shared" si="2"/>
        <v>2518.29</v>
      </c>
      <c r="M56" s="7" t="s">
        <v>183</v>
      </c>
      <c r="N56" s="5" t="str">
        <f t="shared" ca="1" si="1"/>
        <v>Central  46012</v>
      </c>
    </row>
    <row r="57" spans="1:14" ht="15" thickBot="1" x14ac:dyDescent="0.35">
      <c r="A57" s="9">
        <f ca="1">DATE(YEAR(TODAY())-3,10,9)</f>
        <v>45208</v>
      </c>
      <c r="B57" s="9">
        <f ca="1">DATE(YEAR(TODAY())-3,10,16)</f>
        <v>45215</v>
      </c>
      <c r="C57" s="5" t="s">
        <v>20</v>
      </c>
      <c r="D57" s="5" t="s">
        <v>184</v>
      </c>
      <c r="E57" s="5" t="s">
        <v>82</v>
      </c>
      <c r="F57" s="5" t="s">
        <v>69</v>
      </c>
      <c r="G57" s="5" t="s">
        <v>17</v>
      </c>
      <c r="H57" s="5" t="s">
        <v>18</v>
      </c>
      <c r="I57" s="6">
        <v>957.58</v>
      </c>
      <c r="J57" s="7">
        <v>5</v>
      </c>
      <c r="K57" s="8">
        <v>0.45</v>
      </c>
      <c r="L57" s="6">
        <f t="shared" si="2"/>
        <v>2633.3450000000007</v>
      </c>
      <c r="M57" s="7" t="s">
        <v>186</v>
      </c>
      <c r="N57" s="5" t="str">
        <f t="shared" ca="1" si="1"/>
        <v>Central  45208</v>
      </c>
    </row>
    <row r="58" spans="1:14" ht="15" thickBot="1" x14ac:dyDescent="0.35">
      <c r="A58" s="9">
        <f ca="1">DATE(YEAR(TODAY())-1,4,20)</f>
        <v>45767</v>
      </c>
      <c r="B58" s="9">
        <f ca="1">DATE(YEAR(TODAY())-1,4,24)</f>
        <v>45771</v>
      </c>
      <c r="C58" s="5" t="s">
        <v>13</v>
      </c>
      <c r="D58" s="5" t="s">
        <v>187</v>
      </c>
      <c r="E58" s="5" t="s">
        <v>68</v>
      </c>
      <c r="F58" s="5" t="s">
        <v>69</v>
      </c>
      <c r="G58" s="5" t="s">
        <v>17</v>
      </c>
      <c r="H58" s="5" t="s">
        <v>23</v>
      </c>
      <c r="I58" s="6">
        <v>97.26</v>
      </c>
      <c r="J58" s="7">
        <v>4</v>
      </c>
      <c r="K58" s="8">
        <v>0.8</v>
      </c>
      <c r="L58" s="6">
        <f t="shared" si="2"/>
        <v>77.807999999999993</v>
      </c>
      <c r="M58" s="7" t="s">
        <v>188</v>
      </c>
      <c r="N58" s="5" t="str">
        <f t="shared" ca="1" si="1"/>
        <v>Central  45767</v>
      </c>
    </row>
    <row r="59" spans="1:14" ht="15" thickBot="1" x14ac:dyDescent="0.35">
      <c r="A59" s="9">
        <f ca="1">DATE(YEAR(TODAY())-3,12,25)</f>
        <v>45285</v>
      </c>
      <c r="B59" s="9">
        <f ca="1">DATE(YEAR(TODAY())-3,12,29)</f>
        <v>45289</v>
      </c>
      <c r="C59" s="5" t="s">
        <v>20</v>
      </c>
      <c r="D59" s="5" t="s">
        <v>189</v>
      </c>
      <c r="E59" s="5" t="s">
        <v>31</v>
      </c>
      <c r="F59" s="5" t="s">
        <v>16</v>
      </c>
      <c r="G59" s="5" t="s">
        <v>17</v>
      </c>
      <c r="H59" s="5" t="s">
        <v>18</v>
      </c>
      <c r="I59" s="6">
        <v>532.4</v>
      </c>
      <c r="J59" s="7">
        <v>3</v>
      </c>
      <c r="K59" s="8">
        <v>0.32</v>
      </c>
      <c r="L59" s="6">
        <f t="shared" si="2"/>
        <v>1086.0959999999998</v>
      </c>
      <c r="M59" s="7" t="s">
        <v>190</v>
      </c>
      <c r="N59" s="5" t="str">
        <f t="shared" ca="1" si="1"/>
        <v>Central  45285</v>
      </c>
    </row>
    <row r="60" spans="1:14" ht="15" thickBot="1" x14ac:dyDescent="0.35">
      <c r="A60" s="9">
        <f ca="1">DATE(YEAR(TODAY())-2,6,11)</f>
        <v>45454</v>
      </c>
      <c r="B60" s="9">
        <f ca="1">DATE(YEAR(TODAY())-2,6,14)</f>
        <v>45457</v>
      </c>
      <c r="C60" s="5" t="s">
        <v>39</v>
      </c>
      <c r="D60" s="5" t="s">
        <v>191</v>
      </c>
      <c r="E60" s="5" t="s">
        <v>117</v>
      </c>
      <c r="F60" s="5" t="s">
        <v>118</v>
      </c>
      <c r="G60" s="5" t="s">
        <v>28</v>
      </c>
      <c r="H60" s="5" t="s">
        <v>23</v>
      </c>
      <c r="I60" s="6">
        <v>226.56</v>
      </c>
      <c r="J60" s="7">
        <v>6</v>
      </c>
      <c r="K60" s="8">
        <v>0</v>
      </c>
      <c r="L60" s="6">
        <f t="shared" si="2"/>
        <v>1359.3600000000001</v>
      </c>
      <c r="M60" s="7" t="s">
        <v>193</v>
      </c>
      <c r="N60" s="5" t="str">
        <f t="shared" ca="1" si="1"/>
        <v>South  45454</v>
      </c>
    </row>
    <row r="61" spans="1:14" ht="15" thickBot="1" x14ac:dyDescent="0.35">
      <c r="A61" s="9">
        <f ca="1">DATE(YEAR(TODAY())-2,6,11)</f>
        <v>45454</v>
      </c>
      <c r="B61" s="9">
        <f ca="1">DATE(YEAR(TODAY())-2,6,14)</f>
        <v>45457</v>
      </c>
      <c r="C61" s="5" t="s">
        <v>39</v>
      </c>
      <c r="D61" s="5" t="s">
        <v>205</v>
      </c>
      <c r="E61" s="5" t="s">
        <v>197</v>
      </c>
      <c r="F61" s="5" t="s">
        <v>54</v>
      </c>
      <c r="G61" s="5" t="s">
        <v>37</v>
      </c>
      <c r="H61" s="5" t="s">
        <v>23</v>
      </c>
      <c r="I61" s="6">
        <v>208.16</v>
      </c>
      <c r="J61" s="7">
        <v>1</v>
      </c>
      <c r="K61" s="8">
        <v>0</v>
      </c>
      <c r="L61" s="6">
        <f t="shared" si="2"/>
        <v>208.16</v>
      </c>
      <c r="M61" s="7" t="s">
        <v>195</v>
      </c>
      <c r="N61" s="5" t="str">
        <f t="shared" ca="1" si="1"/>
        <v>East  45454</v>
      </c>
    </row>
    <row r="62" spans="1:14" ht="15" thickBot="1" x14ac:dyDescent="0.35">
      <c r="A62" s="9">
        <f ca="1">DATE(YEAR(TODAY())-2,6,16)</f>
        <v>45459</v>
      </c>
      <c r="B62" s="9">
        <f ca="1">DATE(YEAR(TODAY())-2,6,17)</f>
        <v>45460</v>
      </c>
      <c r="C62" s="5" t="s">
        <v>39</v>
      </c>
      <c r="D62" s="5" t="s">
        <v>196</v>
      </c>
      <c r="E62" s="5" t="s">
        <v>49</v>
      </c>
      <c r="F62" s="5" t="s">
        <v>50</v>
      </c>
      <c r="G62" s="5" t="s">
        <v>17</v>
      </c>
      <c r="H62" s="5" t="s">
        <v>18</v>
      </c>
      <c r="I62" s="6">
        <v>319.41000000000003</v>
      </c>
      <c r="J62" s="7">
        <v>5</v>
      </c>
      <c r="K62" s="8">
        <v>0.1</v>
      </c>
      <c r="L62" s="6">
        <f t="shared" si="2"/>
        <v>1437.3450000000003</v>
      </c>
      <c r="M62" s="7" t="s">
        <v>198</v>
      </c>
      <c r="N62" s="5" t="str">
        <f t="shared" ca="1" si="1"/>
        <v>Central  45459</v>
      </c>
    </row>
    <row r="63" spans="1:14" ht="15" thickBot="1" x14ac:dyDescent="0.35">
      <c r="A63" s="9">
        <f ca="1">DATE(YEAR(TODAY())-3,9,15)</f>
        <v>45184</v>
      </c>
      <c r="B63" s="9">
        <f ca="1">DATE(YEAR(TODAY())-3,9,19)</f>
        <v>45188</v>
      </c>
      <c r="C63" s="5" t="s">
        <v>20</v>
      </c>
      <c r="D63" s="5" t="s">
        <v>199</v>
      </c>
      <c r="E63" s="5" t="s">
        <v>202</v>
      </c>
      <c r="F63" s="5" t="s">
        <v>203</v>
      </c>
      <c r="G63" s="5" t="s">
        <v>37</v>
      </c>
      <c r="H63" s="5" t="s">
        <v>18</v>
      </c>
      <c r="I63" s="6">
        <v>3083.43</v>
      </c>
      <c r="J63" s="7">
        <v>7</v>
      </c>
      <c r="K63" s="8">
        <v>0.5</v>
      </c>
      <c r="L63" s="6">
        <f t="shared" si="2"/>
        <v>10792.004999999999</v>
      </c>
      <c r="M63" s="7" t="s">
        <v>200</v>
      </c>
      <c r="N63" s="5" t="str">
        <f t="shared" ca="1" si="1"/>
        <v>East  45184</v>
      </c>
    </row>
    <row r="64" spans="1:14" ht="15" thickBot="1" x14ac:dyDescent="0.35">
      <c r="A64" s="9">
        <f ca="1">DATE(YEAR(TODAY())-1,11,5)</f>
        <v>45966</v>
      </c>
      <c r="B64" s="9">
        <f ca="1">DATE(YEAR(TODAY())-1,11,12)</f>
        <v>45973</v>
      </c>
      <c r="C64" s="5" t="s">
        <v>20</v>
      </c>
      <c r="D64" s="5" t="s">
        <v>201</v>
      </c>
      <c r="E64" s="5" t="s">
        <v>192</v>
      </c>
      <c r="F64" s="5" t="s">
        <v>131</v>
      </c>
      <c r="G64" s="5" t="s">
        <v>37</v>
      </c>
      <c r="H64" s="5" t="s">
        <v>23</v>
      </c>
      <c r="I64" s="6">
        <v>46.26</v>
      </c>
      <c r="J64" s="7">
        <v>3</v>
      </c>
      <c r="K64" s="8">
        <v>0</v>
      </c>
      <c r="L64" s="6">
        <f t="shared" si="2"/>
        <v>138.78</v>
      </c>
      <c r="M64" s="7" t="s">
        <v>204</v>
      </c>
      <c r="N64" s="5" t="str">
        <f t="shared" ca="1" si="1"/>
        <v>East  45966</v>
      </c>
    </row>
  </sheetData>
  <mergeCells count="2">
    <mergeCell ref="K2:L2"/>
    <mergeCell ref="M2:N2"/>
  </mergeCells>
  <conditionalFormatting sqref="H7">
    <cfRule type="expression" dxfId="2" priority="4">
      <formula>$H7="Technology"</formula>
    </cfRule>
  </conditionalFormatting>
  <conditionalFormatting sqref="H8:H64">
    <cfRule type="expression" dxfId="1" priority="3">
      <formula>$H8="Technology"</formula>
    </cfRule>
  </conditionalFormatting>
  <conditionalFormatting sqref="L4:L64">
    <cfRule type="top10" dxfId="0" priority="1" percent="1" rank="10"/>
  </conditionalFormatting>
  <dataValidations count="1">
    <dataValidation type="list" allowBlank="1" showInputMessage="1" showErrorMessage="1" sqref="Q4" xr:uid="{764EF869-2148-4875-B631-D28514F1E61D}">
      <formula1>NEW_CUSTOMRER_NAME</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 id="{CE6FFB0C-F4AC-4A75-8FA6-CC1A923415CD}">
            <x14:iconSet custom="1">
              <x14:cfvo type="percent">
                <xm:f>0</xm:f>
              </x14:cfvo>
              <x14:cfvo type="num">
                <xm:f>5</xm:f>
              </x14:cfvo>
              <x14:cfvo type="num">
                <xm:f>5</xm:f>
              </x14:cfvo>
              <x14:cfIcon iconSet="NoIcons" iconId="0"/>
              <x14:cfIcon iconSet="NoIcons" iconId="0"/>
              <x14:cfIcon iconSet="3Symbols2" iconId="2"/>
            </x14:iconSet>
          </x14:cfRule>
          <xm:sqref>J4:J64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651E-8A1F-4F82-82B6-61DD0A6D2891}">
  <sheetPr>
    <tabColor theme="3" tint="0.59999389629810485"/>
  </sheetPr>
  <dimension ref="B5:O13"/>
  <sheetViews>
    <sheetView showGridLines="0" tabSelected="1" zoomScaleNormal="100" workbookViewId="0">
      <selection activeCell="L6" sqref="L6"/>
    </sheetView>
  </sheetViews>
  <sheetFormatPr defaultColWidth="9" defaultRowHeight="14" x14ac:dyDescent="0.3"/>
  <cols>
    <col min="2" max="2" width="10.75" customWidth="1"/>
    <col min="3" max="3" width="11.5" customWidth="1"/>
    <col min="4" max="4" width="10" customWidth="1"/>
    <col min="6" max="6" width="14.33203125" customWidth="1"/>
    <col min="8" max="8" width="16.33203125" customWidth="1"/>
    <col min="9" max="10" width="9.08203125" bestFit="1" customWidth="1"/>
    <col min="11" max="11" width="11.5" bestFit="1" customWidth="1"/>
    <col min="12" max="12" width="15.58203125" customWidth="1"/>
  </cols>
  <sheetData>
    <row r="5" spans="2:15" ht="15.5" x14ac:dyDescent="0.3">
      <c r="O5" s="34"/>
    </row>
    <row r="8" spans="2:15" ht="14.25" customHeight="1" x14ac:dyDescent="0.3">
      <c r="B8" s="40" t="s">
        <v>216</v>
      </c>
      <c r="C8" s="41"/>
      <c r="D8" s="41"/>
      <c r="E8" s="41"/>
      <c r="F8" s="42" t="s">
        <v>86</v>
      </c>
      <c r="G8" s="43"/>
      <c r="H8" s="43"/>
      <c r="I8" s="43"/>
      <c r="J8" s="43"/>
      <c r="K8" s="43"/>
      <c r="L8" s="43"/>
    </row>
    <row r="9" spans="2:15" ht="27" customHeight="1" x14ac:dyDescent="0.3">
      <c r="B9" s="41"/>
      <c r="C9" s="41"/>
      <c r="D9" s="41"/>
      <c r="E9" s="41"/>
      <c r="F9" s="42"/>
      <c r="G9" s="43"/>
      <c r="H9" s="43"/>
      <c r="I9" s="43"/>
      <c r="J9" s="43"/>
      <c r="K9" s="43"/>
      <c r="L9" s="43"/>
    </row>
    <row r="11" spans="2:15" ht="14.5" x14ac:dyDescent="0.35">
      <c r="B11" s="35" t="s">
        <v>0</v>
      </c>
      <c r="C11" s="36" t="s">
        <v>1</v>
      </c>
      <c r="D11" s="36" t="s">
        <v>2</v>
      </c>
      <c r="E11" s="36" t="s">
        <v>211</v>
      </c>
      <c r="F11" s="36" t="s">
        <v>5</v>
      </c>
      <c r="G11" s="36" t="s">
        <v>6</v>
      </c>
      <c r="H11" s="36" t="s">
        <v>7</v>
      </c>
      <c r="I11" s="36" t="s">
        <v>214</v>
      </c>
      <c r="J11" s="36" t="s">
        <v>215</v>
      </c>
      <c r="K11" s="36" t="s">
        <v>11</v>
      </c>
      <c r="L11" s="36" t="s">
        <v>212</v>
      </c>
    </row>
    <row r="12" spans="2:15" ht="36" customHeight="1" thickBot="1" x14ac:dyDescent="0.35">
      <c r="B12" s="29">
        <f ca="1">LOOKUP(F8,NEW_CUSTOMRER_NAME,ORDER_DATE)</f>
        <v>45019</v>
      </c>
      <c r="C12" s="29">
        <f ca="1">LOOKUP(F8,NEW_CUSTOMRER_NAME,SHIP_DATE)</f>
        <v>45024</v>
      </c>
      <c r="D12" s="31" t="str">
        <f>LOOKUP(F8,NEW_CUSTOMRER_NAME,SHIP_MODE)</f>
        <v>USPS</v>
      </c>
      <c r="E12" s="29" t="str">
        <f>LOOKUP(F8,NEW_CUSTOMRER_NAME,NEW_CITY)</f>
        <v>Fort Lauderdale</v>
      </c>
      <c r="F12" s="29" t="str">
        <f>LOOKUP(F8,NEW_CUSTOMRER_NAME,STATE)</f>
        <v>Florida</v>
      </c>
      <c r="G12" s="29" t="str">
        <f>LOOKUP(F8,NEW_CUSTOMRER_NAME,REGION)</f>
        <v>South</v>
      </c>
      <c r="H12" s="29" t="str">
        <f>LOOKUP(F8,NEW_CUSTOMRER_NAME,CATEGORY)</f>
        <v>Office Supplies</v>
      </c>
      <c r="I12" s="29">
        <f>LOOKUP(F8,NEW_CUSTOMRER_NAME,QUANTITY_SOLD)</f>
        <v>1</v>
      </c>
      <c r="J12" s="32">
        <f>LOOKUP(F8,NEW_CUSTOMRER_NAME,DISCOUNT)</f>
        <v>0.7</v>
      </c>
      <c r="K12" s="33">
        <f>LOOKUP(F8,NEW_CUSTOMRER_NAME,SALES)</f>
        <v>86.700000000000017</v>
      </c>
      <c r="L12" s="30" t="str">
        <f ca="1">LOOKUP(F8,NEW_CUSTOMRER_NAME,NEW_ORDER_NUMBER)</f>
        <v>South  45019</v>
      </c>
    </row>
    <row r="13" spans="2:15" ht="14.5" thickTop="1" x14ac:dyDescent="0.3"/>
  </sheetData>
  <sheetProtection formatCells="0" formatColumns="0" formatRows="0" insertColumns="0" insertRows="0" insertHyperlinks="0" deleteColumns="0" deleteRows="0" selectLockedCells="1" sort="0" autoFilter="0" pivotTables="0"/>
  <mergeCells count="2">
    <mergeCell ref="B8:E9"/>
    <mergeCell ref="F8:L9"/>
  </mergeCells>
  <dataValidations count="1">
    <dataValidation type="list" allowBlank="1" showInputMessage="1" showErrorMessage="1" sqref="F8" xr:uid="{A81F3ADE-D206-457C-B6E9-FDD1EEF34AFC}">
      <formula1>NEW_CUSTOMRER_NAME</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13</vt:i4>
      </vt:variant>
    </vt:vector>
  </HeadingPairs>
  <TitlesOfParts>
    <vt:vector size="16" baseType="lpstr">
      <vt:lpstr>Orders</vt:lpstr>
      <vt:lpstr>SALES REPORT</vt:lpstr>
      <vt:lpstr>DASHBOARD</vt:lpstr>
      <vt:lpstr>CATEGORY</vt:lpstr>
      <vt:lpstr>DISCOUNT</vt:lpstr>
      <vt:lpstr>NEW_CITY</vt:lpstr>
      <vt:lpstr>NEW_CUSTOMRER_NAME</vt:lpstr>
      <vt:lpstr>NEW_ORDER_NUMBER</vt:lpstr>
      <vt:lpstr>ORDER_DATE</vt:lpstr>
      <vt:lpstr>QUANTITY_SOLD</vt:lpstr>
      <vt:lpstr>REGION</vt:lpstr>
      <vt:lpstr>RETAIL_PRICE</vt:lpstr>
      <vt:lpstr>SALES</vt:lpstr>
      <vt:lpstr>SHIP_DATE</vt:lpstr>
      <vt:lpstr>SHIP_MODE</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Poaletti</dc:creator>
  <cp:lastModifiedBy>SULIAT AYOMIDE</cp:lastModifiedBy>
  <dcterms:created xsi:type="dcterms:W3CDTF">2021-09-16T13:34:01Z</dcterms:created>
  <dcterms:modified xsi:type="dcterms:W3CDTF">2026-07-07T17:54:17Z</dcterms:modified>
</cp:coreProperties>
</file>